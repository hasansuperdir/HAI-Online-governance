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efinitions" sheetId="1" state="visible" r:id="rId1"/>
    <sheet xmlns:r="http://schemas.openxmlformats.org/officeDocument/2006/relationships" name="SLA Definitions" sheetId="2" state="visible" r:id="rId2"/>
    <sheet xmlns:r="http://schemas.openxmlformats.org/officeDocument/2006/relationships" name="Escalat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KPI ID</t>
        </is>
      </c>
      <c r="B1" s="1" t="inlineStr">
        <is>
          <t>KPI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Formula / Calculation</t>
        </is>
      </c>
      <c r="F1" s="1" t="inlineStr">
        <is>
          <t>Unit</t>
        </is>
      </c>
      <c r="G1" s="1" t="inlineStr">
        <is>
          <t>Target</t>
        </is>
      </c>
      <c r="H1" s="1" t="inlineStr">
        <is>
          <t>Warning Threshold</t>
        </is>
      </c>
      <c r="I1" s="1" t="inlineStr">
        <is>
          <t>Critical Threshold</t>
        </is>
      </c>
      <c r="J1" s="1" t="inlineStr">
        <is>
          <t>Measurement Frequency</t>
        </is>
      </c>
      <c r="K1" s="1" t="inlineStr">
        <is>
          <t>Data Source (PF)</t>
        </is>
      </c>
      <c r="L1" s="1" t="inlineStr">
        <is>
          <t>Dashboard</t>
        </is>
      </c>
      <c r="M1" s="1" t="inlineStr">
        <is>
          <t>Owner Role</t>
        </is>
      </c>
      <c r="N1" s="1" t="inlineStr">
        <is>
          <t>Stage Applicability</t>
        </is>
      </c>
    </row>
    <row r="2">
      <c r="A2" s="2" t="inlineStr">
        <is>
          <t>KPI-001</t>
        </is>
      </c>
      <c r="B2" s="2" t="inlineStr">
        <is>
          <t>Submittal Response Time</t>
        </is>
      </c>
      <c r="C2" s="2" t="inlineStr">
        <is>
          <t>Document Management</t>
        </is>
      </c>
      <c r="D2" s="2" t="inlineStr">
        <is>
          <t>Average time from submittal receipt to response issuance</t>
        </is>
      </c>
      <c r="E2" s="2">
        <f>AVG(Response Date - Receipt Date)</f>
        <v/>
      </c>
      <c r="F2" s="2" t="inlineStr">
        <is>
          <t>Calendar Days</t>
        </is>
      </c>
      <c r="G2" s="2" t="inlineStr">
        <is>
          <t>≤14 CD</t>
        </is>
      </c>
      <c r="H2" s="2" t="inlineStr">
        <is>
          <t>15-21 CD</t>
        </is>
      </c>
      <c r="I2" s="2" t="inlineStr">
        <is>
          <t>&gt;21 CD</t>
        </is>
      </c>
      <c r="J2" s="2" t="inlineStr">
        <is>
          <t>Weekly</t>
        </is>
      </c>
      <c r="K2" s="2" t="inlineStr">
        <is>
          <t>PF-01</t>
        </is>
      </c>
      <c r="L2" s="2" t="inlineStr">
        <is>
          <t>ER Dashboard</t>
        </is>
      </c>
      <c r="M2" s="2" t="inlineStr">
        <is>
          <t>R07 Document Controller</t>
        </is>
      </c>
      <c r="N2" s="2" t="inlineStr">
        <is>
          <t>Stage 1-6</t>
        </is>
      </c>
    </row>
    <row r="3">
      <c r="A3" s="2" t="inlineStr">
        <is>
          <t>KPI-002</t>
        </is>
      </c>
      <c r="B3" s="2" t="inlineStr">
        <is>
          <t>Correspondence Turnaround</t>
        </is>
      </c>
      <c r="C3" s="2" t="inlineStr">
        <is>
          <t>Correspondence</t>
        </is>
      </c>
      <c r="D3" s="2" t="inlineStr">
        <is>
          <t>Average time from letter receipt to formal reply</t>
        </is>
      </c>
      <c r="E3" s="2">
        <f>AVG(Reply Date - Receipt Date)</f>
        <v/>
      </c>
      <c r="F3" s="2" t="inlineStr">
        <is>
          <t>Calendar Days</t>
        </is>
      </c>
      <c r="G3" s="2" t="inlineStr">
        <is>
          <t>≤7 CD</t>
        </is>
      </c>
      <c r="H3" s="2" t="inlineStr">
        <is>
          <t>8-14 CD</t>
        </is>
      </c>
      <c r="I3" s="2" t="inlineStr">
        <is>
          <t>&gt;14 CD</t>
        </is>
      </c>
      <c r="J3" s="2" t="inlineStr">
        <is>
          <t>Weekly</t>
        </is>
      </c>
      <c r="K3" s="2" t="inlineStr">
        <is>
          <t>PF-02</t>
        </is>
      </c>
      <c r="L3" s="2" t="inlineStr">
        <is>
          <t>PM Dashboard</t>
        </is>
      </c>
      <c r="M3" s="2" t="inlineStr">
        <is>
          <t>R02 Project Manager</t>
        </is>
      </c>
      <c r="N3" s="2" t="inlineStr">
        <is>
          <t>Stage 4-7</t>
        </is>
      </c>
    </row>
    <row r="4">
      <c r="A4" s="2" t="inlineStr">
        <is>
          <t>KPI-003</t>
        </is>
      </c>
      <c r="B4" s="2" t="inlineStr">
        <is>
          <t>Variation Processing Time</t>
        </is>
      </c>
      <c r="C4" s="2" t="inlineStr">
        <is>
          <t>Financial Control</t>
        </is>
      </c>
      <c r="D4" s="2" t="inlineStr">
        <is>
          <t>Time from variation instruction to final approval</t>
        </is>
      </c>
      <c r="E4" s="2">
        <f>AVG(Approval Date - Instruction Date)</f>
        <v/>
      </c>
      <c r="F4" s="2" t="inlineStr">
        <is>
          <t>Calendar Days</t>
        </is>
      </c>
      <c r="G4" s="2" t="inlineStr">
        <is>
          <t>≤28 CD</t>
        </is>
      </c>
      <c r="H4" s="2" t="inlineStr">
        <is>
          <t>29-42 CD</t>
        </is>
      </c>
      <c r="I4" s="2" t="inlineStr">
        <is>
          <t>&gt;42 CD</t>
        </is>
      </c>
      <c r="J4" s="2" t="inlineStr">
        <is>
          <t>Monthly</t>
        </is>
      </c>
      <c r="K4" s="2" t="inlineStr">
        <is>
          <t>PF-03</t>
        </is>
      </c>
      <c r="L4" s="2" t="inlineStr">
        <is>
          <t>Cost Dashboard</t>
        </is>
      </c>
      <c r="M4" s="2" t="inlineStr">
        <is>
          <t>R03 Contracts Manager</t>
        </is>
      </c>
      <c r="N4" s="2" t="inlineStr">
        <is>
          <t>Stage 5</t>
        </is>
      </c>
    </row>
    <row r="5">
      <c r="A5" s="2" t="inlineStr">
        <is>
          <t>KPI-004</t>
        </is>
      </c>
      <c r="B5" s="2" t="inlineStr">
        <is>
          <t>IPC Certification Cycle</t>
        </is>
      </c>
      <c r="C5" s="2" t="inlineStr">
        <is>
          <t>Financial Control</t>
        </is>
      </c>
      <c r="D5" s="2" t="inlineStr">
        <is>
          <t>Time from contractor application to certified IPC issuance</t>
        </is>
      </c>
      <c r="E5" s="2">
        <f>AVG(IPC Issue Date - Application Date)</f>
        <v/>
      </c>
      <c r="F5" s="2" t="inlineStr">
        <is>
          <t>Calendar Days</t>
        </is>
      </c>
      <c r="G5" s="2" t="inlineStr">
        <is>
          <t>≤28 CD (FIDIC 14.6)</t>
        </is>
      </c>
      <c r="H5" s="2" t="inlineStr">
        <is>
          <t>29-35 CD</t>
        </is>
      </c>
      <c r="I5" s="2" t="inlineStr">
        <is>
          <t>&gt;35 CD</t>
        </is>
      </c>
      <c r="J5" s="2" t="inlineStr">
        <is>
          <t>Monthly</t>
        </is>
      </c>
      <c r="K5" s="2" t="inlineStr">
        <is>
          <t>PF-08</t>
        </is>
      </c>
      <c r="L5" s="2" t="inlineStr">
        <is>
          <t>Cost Dashboard</t>
        </is>
      </c>
      <c r="M5" s="2" t="inlineStr">
        <is>
          <t>R05 Cost Manager</t>
        </is>
      </c>
      <c r="N5" s="2" t="inlineStr">
        <is>
          <t>Stage 5-7</t>
        </is>
      </c>
    </row>
    <row r="6">
      <c r="A6" s="2" t="inlineStr">
        <is>
          <t>KPI-005</t>
        </is>
      </c>
      <c r="B6" s="2" t="inlineStr">
        <is>
          <t>Stage Gate Compliance</t>
        </is>
      </c>
      <c r="C6" s="2" t="inlineStr">
        <is>
          <t>Governance</t>
        </is>
      </c>
      <c r="D6" s="2" t="inlineStr">
        <is>
          <t>Percentage of gate prerequisites completed before progression</t>
        </is>
      </c>
      <c r="E6" s="2">
        <f>(Completed Prerequisites / Total Prerequisites) × 100</f>
        <v/>
      </c>
      <c r="F6" s="2" t="inlineStr">
        <is>
          <t>%</t>
        </is>
      </c>
      <c r="G6" s="2" t="inlineStr">
        <is>
          <t>100%</t>
        </is>
      </c>
      <c r="H6" s="2" t="inlineStr">
        <is>
          <t>90-99%</t>
        </is>
      </c>
      <c r="I6" s="2" t="inlineStr">
        <is>
          <t>&lt;90%</t>
        </is>
      </c>
      <c r="J6" s="2" t="inlineStr">
        <is>
          <t>Per Gate</t>
        </is>
      </c>
      <c r="K6" s="2" t="inlineStr">
        <is>
          <t>PF-05</t>
        </is>
      </c>
      <c r="L6" s="2" t="inlineStr">
        <is>
          <t>Governance Dashboard</t>
        </is>
      </c>
      <c r="M6" s="2" t="inlineStr">
        <is>
          <t>R02 Project Manager</t>
        </is>
      </c>
      <c r="N6" s="2" t="inlineStr">
        <is>
          <t>Stage 0-8</t>
        </is>
      </c>
    </row>
    <row r="7">
      <c r="A7" s="2" t="inlineStr">
        <is>
          <t>KPI-006</t>
        </is>
      </c>
      <c r="B7" s="2" t="inlineStr">
        <is>
          <t>NCR Closure Rate</t>
        </is>
      </c>
      <c r="C7" s="2" t="inlineStr">
        <is>
          <t>Quality</t>
        </is>
      </c>
      <c r="D7" s="2" t="inlineStr">
        <is>
          <t>Percentage of NCRs closed within SLA period</t>
        </is>
      </c>
      <c r="E7" s="2">
        <f>(NCRs Closed On Time / Total NCRs) × 100</f>
        <v/>
      </c>
      <c r="F7" s="2" t="inlineStr">
        <is>
          <t>%</t>
        </is>
      </c>
      <c r="G7" s="2" t="inlineStr">
        <is>
          <t>≥95%</t>
        </is>
      </c>
      <c r="H7" s="2" t="inlineStr">
        <is>
          <t>85-94%</t>
        </is>
      </c>
      <c r="I7" s="2" t="inlineStr">
        <is>
          <t>&lt;85%</t>
        </is>
      </c>
      <c r="J7" s="2" t="inlineStr">
        <is>
          <t>Monthly</t>
        </is>
      </c>
      <c r="K7" s="2" t="inlineStr">
        <is>
          <t>PF-10</t>
        </is>
      </c>
      <c r="L7" s="2" t="inlineStr">
        <is>
          <t>Quality Dashboard</t>
        </is>
      </c>
      <c r="M7" s="2" t="inlineStr">
        <is>
          <t>R06 QA/QC Manager</t>
        </is>
      </c>
      <c r="N7" s="2" t="inlineStr">
        <is>
          <t>Stage 5-6</t>
        </is>
      </c>
    </row>
    <row r="8">
      <c r="A8" s="2" t="inlineStr">
        <is>
          <t>KPI-007</t>
        </is>
      </c>
      <c r="B8" s="2" t="inlineStr">
        <is>
          <t>Contractor Performance Score</t>
        </is>
      </c>
      <c r="C8" s="2" t="inlineStr">
        <is>
          <t>Contractor Mgmt</t>
        </is>
      </c>
      <c r="D8" s="2" t="inlineStr">
        <is>
          <t>Composite weighted score across 5 dimensions</t>
        </is>
      </c>
      <c r="E8" s="2">
        <f>Σ(Dimension Score × Weight) / Σ(Weights)</f>
        <v/>
      </c>
      <c r="F8" s="2" t="inlineStr">
        <is>
          <t>Score 0-100</t>
        </is>
      </c>
      <c r="G8" s="2" t="inlineStr">
        <is>
          <t>≥80</t>
        </is>
      </c>
      <c r="H8" s="2" t="inlineStr">
        <is>
          <t>60-79</t>
        </is>
      </c>
      <c r="I8" s="2" t="inlineStr">
        <is>
          <t>&lt;60</t>
        </is>
      </c>
      <c r="J8" s="2" t="inlineStr">
        <is>
          <t>Monthly</t>
        </is>
      </c>
      <c r="K8" s="2" t="inlineStr">
        <is>
          <t>PF-13</t>
        </is>
      </c>
      <c r="L8" s="2" t="inlineStr">
        <is>
          <t>PM Dashboard</t>
        </is>
      </c>
      <c r="M8" s="2" t="inlineStr">
        <is>
          <t>R02 Project Manager</t>
        </is>
      </c>
      <c r="N8" s="2" t="inlineStr">
        <is>
          <t>Stage 5-7</t>
        </is>
      </c>
    </row>
    <row r="9">
      <c r="A9" s="2" t="inlineStr">
        <is>
          <t>KPI-008</t>
        </is>
      </c>
      <c r="B9" s="2" t="inlineStr">
        <is>
          <t>Risk Register Currency</t>
        </is>
      </c>
      <c r="C9" s="2" t="inlineStr">
        <is>
          <t>Risk</t>
        </is>
      </c>
      <c r="D9" s="2" t="inlineStr">
        <is>
          <t>Percentage of risks reviewed within last 30 days</t>
        </is>
      </c>
      <c r="E9" s="2">
        <f>(Risks Updated &lt;30d / Total Active Risks) × 100</f>
        <v/>
      </c>
      <c r="F9" s="2" t="inlineStr">
        <is>
          <t>%</t>
        </is>
      </c>
      <c r="G9" s="2" t="inlineStr">
        <is>
          <t>≥90%</t>
        </is>
      </c>
      <c r="H9" s="2" t="inlineStr">
        <is>
          <t>75-89%</t>
        </is>
      </c>
      <c r="I9" s="2" t="inlineStr">
        <is>
          <t>&lt;75%</t>
        </is>
      </c>
      <c r="J9" s="2" t="inlineStr">
        <is>
          <t>Monthly</t>
        </is>
      </c>
      <c r="K9" s="2" t="inlineStr">
        <is>
          <t>PF-12</t>
        </is>
      </c>
      <c r="L9" s="2" t="inlineStr">
        <is>
          <t>Risk Dashboard</t>
        </is>
      </c>
      <c r="M9" s="2" t="inlineStr">
        <is>
          <t>R02 Project Manager</t>
        </is>
      </c>
      <c r="N9" s="2" t="inlineStr">
        <is>
          <t>Stage 1-7</t>
        </is>
      </c>
    </row>
    <row r="10">
      <c r="A10" s="2" t="inlineStr">
        <is>
          <t>KPI-009</t>
        </is>
      </c>
      <c r="B10" s="2" t="inlineStr">
        <is>
          <t>Design Freeze Exception Rate</t>
        </is>
      </c>
      <c r="C10" s="2" t="inlineStr">
        <is>
          <t>Governance</t>
        </is>
      </c>
      <c r="D10" s="2" t="inlineStr">
        <is>
          <t>Number of freeze exceptions per month as % of total scope items</t>
        </is>
      </c>
      <c r="E10" s="2">
        <f>(Exceptions Approved / Total Scope Items) × 100</f>
        <v/>
      </c>
      <c r="F10" s="2" t="inlineStr">
        <is>
          <t>%</t>
        </is>
      </c>
      <c r="G10" s="2" t="inlineStr">
        <is>
          <t>≤2%</t>
        </is>
      </c>
      <c r="H10" s="2" t="inlineStr">
        <is>
          <t>2-5%</t>
        </is>
      </c>
      <c r="I10" s="2" t="inlineStr">
        <is>
          <t>&gt;5%</t>
        </is>
      </c>
      <c r="J10" s="2" t="inlineStr">
        <is>
          <t>Monthly</t>
        </is>
      </c>
      <c r="K10" s="2" t="inlineStr">
        <is>
          <t>PF-06</t>
        </is>
      </c>
      <c r="L10" s="2" t="inlineStr">
        <is>
          <t>Governance Dashboard</t>
        </is>
      </c>
      <c r="M10" s="2" t="inlineStr">
        <is>
          <t>R04 Technical Design Manager</t>
        </is>
      </c>
      <c r="N10" s="2" t="inlineStr">
        <is>
          <t>Stage 3-5</t>
        </is>
      </c>
    </row>
    <row r="11">
      <c r="A11" s="2" t="inlineStr">
        <is>
          <t>KPI-010</t>
        </is>
      </c>
      <c r="B11" s="2" t="inlineStr">
        <is>
          <t>Budget Variance</t>
        </is>
      </c>
      <c r="C11" s="2" t="inlineStr">
        <is>
          <t>Financial Control</t>
        </is>
      </c>
      <c r="D11" s="2" t="inlineStr">
        <is>
          <t>Difference between forecast cost and approved budget baseline</t>
        </is>
      </c>
      <c r="E11" s="2">
        <f>((Forecast - Spatial Coordination) / Spatial Coordination) × 100</f>
        <v/>
      </c>
      <c r="F11" s="2" t="inlineStr">
        <is>
          <t>%</t>
        </is>
      </c>
      <c r="G11" s="2" t="inlineStr">
        <is>
          <t>≤5%</t>
        </is>
      </c>
      <c r="H11" s="2" t="inlineStr">
        <is>
          <t>5-10%</t>
        </is>
      </c>
      <c r="I11" s="2" t="inlineStr">
        <is>
          <t>&gt;10%</t>
        </is>
      </c>
      <c r="J11" s="2" t="inlineStr">
        <is>
          <t>Monthly</t>
        </is>
      </c>
      <c r="K11" s="2" t="inlineStr">
        <is>
          <t>PF-11</t>
        </is>
      </c>
      <c r="L11" s="2" t="inlineStr">
        <is>
          <t>Cost Dashboard</t>
        </is>
      </c>
      <c r="M11" s="2" t="inlineStr">
        <is>
          <t>R05 Cost Manager</t>
        </is>
      </c>
      <c r="N11" s="2" t="inlineStr">
        <is>
          <t>Stage 3-7</t>
        </is>
      </c>
    </row>
    <row r="12">
      <c r="A12" s="2" t="inlineStr">
        <is>
          <t>KPI-011</t>
        </is>
      </c>
      <c r="B12" s="2" t="inlineStr">
        <is>
          <t>Approval Workflow Efficiency</t>
        </is>
      </c>
      <c r="C12" s="2" t="inlineStr">
        <is>
          <t>Governance</t>
        </is>
      </c>
      <c r="D12" s="2" t="inlineStr">
        <is>
          <t>Percentage of approvals completed within SLA</t>
        </is>
      </c>
      <c r="E12" s="2">
        <f>(Approvals On Time / Total Approvals) × 100</f>
        <v/>
      </c>
      <c r="F12" s="2" t="inlineStr">
        <is>
          <t>%</t>
        </is>
      </c>
      <c r="G12" s="2" t="inlineStr">
        <is>
          <t>≥90%</t>
        </is>
      </c>
      <c r="H12" s="2" t="inlineStr">
        <is>
          <t>80-89%</t>
        </is>
      </c>
      <c r="I12" s="2" t="inlineStr">
        <is>
          <t>&lt;80%</t>
        </is>
      </c>
      <c r="J12" s="2" t="inlineStr">
        <is>
          <t>Weekly</t>
        </is>
      </c>
      <c r="K12" s="2" t="inlineStr">
        <is>
          <t>PF-09</t>
        </is>
      </c>
      <c r="L12" s="2" t="inlineStr">
        <is>
          <t>Governance Dashboard</t>
        </is>
      </c>
      <c r="M12" s="2" t="inlineStr">
        <is>
          <t>R01 Programme Director</t>
        </is>
      </c>
      <c r="N12" s="2" t="inlineStr">
        <is>
          <t>Stage 0-8</t>
        </is>
      </c>
    </row>
    <row r="13">
      <c r="A13" s="2" t="inlineStr">
        <is>
          <t>KPI-012</t>
        </is>
      </c>
      <c r="B13" s="2" t="inlineStr">
        <is>
          <t>HSE Incident Rate</t>
        </is>
      </c>
      <c r="C13" s="2" t="inlineStr">
        <is>
          <t>HSE</t>
        </is>
      </c>
      <c r="D13" s="2" t="inlineStr">
        <is>
          <t>Lost time incidents per 200,000 man-hours</t>
        </is>
      </c>
      <c r="E13" s="2">
        <f>(LTI × 200000) / Total Man-Hours</f>
        <v/>
      </c>
      <c r="F13" s="2" t="inlineStr">
        <is>
          <t>Rate</t>
        </is>
      </c>
      <c r="G13" s="2" t="inlineStr">
        <is>
          <t>0</t>
        </is>
      </c>
      <c r="H13" s="2" t="inlineStr">
        <is>
          <t>0.1-0.5</t>
        </is>
      </c>
      <c r="I13" s="2" t="inlineStr">
        <is>
          <t>&gt;0.5</t>
        </is>
      </c>
      <c r="J13" s="2" t="inlineStr">
        <is>
          <t>Monthly</t>
        </is>
      </c>
      <c r="K13" s="2" t="inlineStr">
        <is>
          <t>PF-10</t>
        </is>
      </c>
      <c r="L13" s="2" t="inlineStr">
        <is>
          <t>HSE Dashboard</t>
        </is>
      </c>
      <c r="M13" s="2" t="inlineStr">
        <is>
          <t>R06 QA/QC Manager</t>
        </is>
      </c>
      <c r="N13" s="2" t="inlineStr">
        <is>
          <t>Stage 5-6</t>
        </is>
      </c>
    </row>
    <row r="14">
      <c r="A14" s="2" t="inlineStr">
        <is>
          <t>KPI-013</t>
        </is>
      </c>
      <c r="B14" s="2" t="inlineStr">
        <is>
          <t>Document Revision Index</t>
        </is>
      </c>
      <c r="C14" s="2" t="inlineStr">
        <is>
          <t>Document Mgmt</t>
        </is>
      </c>
      <c r="D14" s="2" t="inlineStr">
        <is>
          <t>Average number of revisions per submittal before approval</t>
        </is>
      </c>
      <c r="E14" s="2">
        <f>AVG(Revision Count per Submittal)</f>
        <v/>
      </c>
      <c r="F14" s="2" t="inlineStr">
        <is>
          <t>Count</t>
        </is>
      </c>
      <c r="G14" s="2" t="inlineStr">
        <is>
          <t>≤2.0</t>
        </is>
      </c>
      <c r="H14" s="2" t="inlineStr">
        <is>
          <t>2.1-3.0</t>
        </is>
      </c>
      <c r="I14" s="2" t="inlineStr">
        <is>
          <t>&gt;3.0</t>
        </is>
      </c>
      <c r="J14" s="2" t="inlineStr">
        <is>
          <t>Monthly</t>
        </is>
      </c>
      <c r="K14" s="2" t="inlineStr">
        <is>
          <t>PF-01</t>
        </is>
      </c>
      <c r="L14" s="2" t="inlineStr">
        <is>
          <t>ER Dashboard</t>
        </is>
      </c>
      <c r="M14" s="2" t="inlineStr">
        <is>
          <t>R07 Document Controller</t>
        </is>
      </c>
      <c r="N14" s="2" t="inlineStr">
        <is>
          <t>Stage 1-6</t>
        </is>
      </c>
    </row>
    <row r="15">
      <c r="A15" s="2" t="inlineStr">
        <is>
          <t>KPI-014</t>
        </is>
      </c>
      <c r="B15" s="2" t="inlineStr">
        <is>
          <t>Handover Package Completeness</t>
        </is>
      </c>
      <c r="C15" s="2" t="inlineStr">
        <is>
          <t>Handover</t>
        </is>
      </c>
      <c r="D15" s="2" t="inlineStr">
        <is>
          <t>Percentage of required handover items submitted</t>
        </is>
      </c>
      <c r="E15" s="2">
        <f>(Items Submitted / Required Items) × 100</f>
        <v/>
      </c>
      <c r="F15" s="2" t="inlineStr">
        <is>
          <t>%</t>
        </is>
      </c>
      <c r="G15" s="2" t="inlineStr">
        <is>
          <t>100%</t>
        </is>
      </c>
      <c r="H15" s="2" t="inlineStr">
        <is>
          <t>90-99%</t>
        </is>
      </c>
      <c r="I15" s="2" t="inlineStr">
        <is>
          <t>&lt;90%</t>
        </is>
      </c>
      <c r="J15" s="2" t="inlineStr">
        <is>
          <t>Per Handover</t>
        </is>
      </c>
      <c r="K15" s="2" t="inlineStr">
        <is>
          <t>PF-15</t>
        </is>
      </c>
      <c r="L15" s="2" t="inlineStr">
        <is>
          <t>Handover Dashboard</t>
        </is>
      </c>
      <c r="M15" s="2" t="inlineStr">
        <is>
          <t>R02 Project Manager</t>
        </is>
      </c>
      <c r="N15" s="2" t="inlineStr">
        <is>
          <t>Stage 6-7</t>
        </is>
      </c>
    </row>
    <row r="16">
      <c r="A16" s="2" t="inlineStr">
        <is>
          <t>KPI-015</t>
        </is>
      </c>
      <c r="B16" s="2" t="inlineStr">
        <is>
          <t>Snag Closure Rate</t>
        </is>
      </c>
      <c r="C16" s="2" t="inlineStr">
        <is>
          <t>Quality</t>
        </is>
      </c>
      <c r="D16" s="2" t="inlineStr">
        <is>
          <t>Percentage of snags closed within defined period</t>
        </is>
      </c>
      <c r="E16" s="2">
        <f>(Snags Closed / Total Snags) × 100</f>
        <v/>
      </c>
      <c r="F16" s="2" t="inlineStr">
        <is>
          <t>%</t>
        </is>
      </c>
      <c r="G16" s="2" t="inlineStr">
        <is>
          <t>≥95%</t>
        </is>
      </c>
      <c r="H16" s="2" t="inlineStr">
        <is>
          <t>85-94%</t>
        </is>
      </c>
      <c r="I16" s="2" t="inlineStr">
        <is>
          <t>&lt;85%</t>
        </is>
      </c>
      <c r="J16" s="2" t="inlineStr">
        <is>
          <t>Weekly</t>
        </is>
      </c>
      <c r="K16" s="2" t="inlineStr">
        <is>
          <t>PF-31</t>
        </is>
      </c>
      <c r="L16" s="2" t="inlineStr">
        <is>
          <t>Quality Dashboard</t>
        </is>
      </c>
      <c r="M16" s="2" t="inlineStr">
        <is>
          <t>R06 QA/QC Manager</t>
        </is>
      </c>
      <c r="N16" s="2" t="inlineStr">
        <is>
          <t>Stage 6-7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SLA ID</t>
        </is>
      </c>
      <c r="B1" s="1" t="inlineStr">
        <is>
          <t>Action Type</t>
        </is>
      </c>
      <c r="C1" s="1" t="inlineStr">
        <is>
          <t>FIDIC Reference</t>
        </is>
      </c>
      <c r="D1" s="1" t="inlineStr">
        <is>
          <t>Contractual Period</t>
        </is>
      </c>
      <c r="E1" s="1" t="inlineStr">
        <is>
          <t>System SLA (Calendar Days)</t>
        </is>
      </c>
      <c r="F1" s="1" t="inlineStr">
        <is>
          <t>Warning Alert (CD before)</t>
        </is>
      </c>
      <c r="G1" s="1" t="inlineStr">
        <is>
          <t>Escalation L1 (CD overdue)</t>
        </is>
      </c>
      <c r="H1" s="1" t="inlineStr">
        <is>
          <t>Escalation L2 (CD overdue)</t>
        </is>
      </c>
      <c r="I1" s="1" t="inlineStr">
        <is>
          <t>Escalation L3 (CD overdue)</t>
        </is>
      </c>
      <c r="J1" s="1" t="inlineStr">
        <is>
          <t>Auto-Action on Breach</t>
        </is>
      </c>
      <c r="K1" s="1" t="inlineStr">
        <is>
          <t>Responsible Role</t>
        </is>
      </c>
      <c r="L1" s="1" t="inlineStr">
        <is>
          <t>Approver Role</t>
        </is>
      </c>
      <c r="M1" s="1" t="inlineStr">
        <is>
          <t>Stage Applicability</t>
        </is>
      </c>
      <c r="N1" s="1" t="inlineStr">
        <is>
          <t>PF Reference</t>
        </is>
      </c>
    </row>
    <row r="2">
      <c r="A2" s="2" t="inlineStr">
        <is>
          <t>SLA-001</t>
        </is>
      </c>
      <c r="B2" s="2" t="inlineStr">
        <is>
          <t>Submittal Review (Standard)</t>
        </is>
      </c>
      <c r="C2" s="2" t="inlineStr">
        <is>
          <t>N/A</t>
        </is>
      </c>
      <c r="D2" s="2" t="inlineStr">
        <is>
          <t>14 CD</t>
        </is>
      </c>
      <c r="E2" s="2" t="inlineStr">
        <is>
          <t>14</t>
        </is>
      </c>
      <c r="F2" s="2" t="inlineStr">
        <is>
          <t>3</t>
        </is>
      </c>
      <c r="G2" s="2" t="inlineStr">
        <is>
          <t>1</t>
        </is>
      </c>
      <c r="H2" s="2" t="inlineStr">
        <is>
          <t>3</t>
        </is>
      </c>
      <c r="I2" s="2" t="inlineStr">
        <is>
          <t>7</t>
        </is>
      </c>
      <c r="J2" s="2" t="inlineStr">
        <is>
          <t>Auto-escalate to PM</t>
        </is>
      </c>
      <c r="K2" s="2" t="inlineStr">
        <is>
          <t>R07</t>
        </is>
      </c>
      <c r="L2" s="2" t="inlineStr">
        <is>
          <t>R02</t>
        </is>
      </c>
      <c r="M2" s="2" t="inlineStr">
        <is>
          <t>Stage 1-6</t>
        </is>
      </c>
      <c r="N2" s="2" t="inlineStr">
        <is>
          <t>PF-01</t>
        </is>
      </c>
    </row>
    <row r="3">
      <c r="A3" s="2" t="inlineStr">
        <is>
          <t>SLA-002</t>
        </is>
      </c>
      <c r="B3" s="2" t="inlineStr">
        <is>
          <t>Submittal Review (Urgent)</t>
        </is>
      </c>
      <c r="C3" s="2" t="inlineStr">
        <is>
          <t>N/A</t>
        </is>
      </c>
      <c r="D3" s="2" t="inlineStr">
        <is>
          <t>7 CD</t>
        </is>
      </c>
      <c r="E3" s="2" t="inlineStr">
        <is>
          <t>7</t>
        </is>
      </c>
      <c r="F3" s="2" t="inlineStr">
        <is>
          <t>2</t>
        </is>
      </c>
      <c r="G3" s="2" t="inlineStr">
        <is>
          <t>1</t>
        </is>
      </c>
      <c r="H3" s="2" t="inlineStr">
        <is>
          <t>2</t>
        </is>
      </c>
      <c r="I3" s="2" t="inlineStr">
        <is>
          <t>4</t>
        </is>
      </c>
      <c r="J3" s="2" t="inlineStr">
        <is>
          <t>Auto-escalate to PM</t>
        </is>
      </c>
      <c r="K3" s="2" t="inlineStr">
        <is>
          <t>R07</t>
        </is>
      </c>
      <c r="L3" s="2" t="inlineStr">
        <is>
          <t>R02</t>
        </is>
      </c>
      <c r="M3" s="2" t="inlineStr">
        <is>
          <t>Stage 1-6</t>
        </is>
      </c>
      <c r="N3" s="2" t="inlineStr">
        <is>
          <t>PF-01</t>
        </is>
      </c>
    </row>
    <row r="4">
      <c r="A4" s="2" t="inlineStr">
        <is>
          <t>SLA-003</t>
        </is>
      </c>
      <c r="B4" s="2" t="inlineStr">
        <is>
          <t>Correspondence Reply</t>
        </is>
      </c>
      <c r="C4" s="2" t="inlineStr">
        <is>
          <t>N/A</t>
        </is>
      </c>
      <c r="D4" s="2" t="inlineStr">
        <is>
          <t>7 CD</t>
        </is>
      </c>
      <c r="E4" s="2" t="inlineStr">
        <is>
          <t>7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5</t>
        </is>
      </c>
      <c r="J4" s="2" t="inlineStr">
        <is>
          <t>Auto-escalate to Dir</t>
        </is>
      </c>
      <c r="K4" s="2" t="inlineStr">
        <is>
          <t>R02</t>
        </is>
      </c>
      <c r="L4" s="2" t="inlineStr">
        <is>
          <t>R01</t>
        </is>
      </c>
      <c r="M4" s="2" t="inlineStr">
        <is>
          <t>Stage 4-7</t>
        </is>
      </c>
      <c r="N4" s="2" t="inlineStr">
        <is>
          <t>PF-02</t>
        </is>
      </c>
    </row>
    <row r="5">
      <c r="A5" s="2" t="inlineStr">
        <is>
          <t>SLA-004</t>
        </is>
      </c>
      <c r="B5" s="2" t="inlineStr">
        <is>
          <t>FIDIC Notice Response</t>
        </is>
      </c>
      <c r="C5" s="2" t="inlineStr">
        <is>
          <t>1.3</t>
        </is>
      </c>
      <c r="D5" s="2" t="inlineStr">
        <is>
          <t>28 CD</t>
        </is>
      </c>
      <c r="E5" s="2" t="inlineStr">
        <is>
          <t>28</t>
        </is>
      </c>
      <c r="F5" s="2" t="inlineStr">
        <is>
          <t>7</t>
        </is>
      </c>
      <c r="G5" s="2" t="inlineStr">
        <is>
          <t>1</t>
        </is>
      </c>
      <c r="H5" s="2" t="inlineStr">
        <is>
          <t>7</t>
        </is>
      </c>
      <c r="I5" s="2" t="inlineStr">
        <is>
          <t>14</t>
        </is>
      </c>
      <c r="J5" s="2" t="inlineStr">
        <is>
          <t>Flag as deemed accepted</t>
        </is>
      </c>
      <c r="K5" s="2" t="inlineStr">
        <is>
          <t>R03</t>
        </is>
      </c>
      <c r="L5" s="2" t="inlineStr">
        <is>
          <t>R02</t>
        </is>
      </c>
      <c r="M5" s="2" t="inlineStr">
        <is>
          <t>Stage 4-7</t>
        </is>
      </c>
      <c r="N5" s="2" t="inlineStr">
        <is>
          <t>PF-02</t>
        </is>
      </c>
    </row>
    <row r="6">
      <c r="A6" s="2" t="inlineStr">
        <is>
          <t>SLA-005</t>
        </is>
      </c>
      <c r="B6" s="2" t="inlineStr">
        <is>
          <t>Variation Assessment</t>
        </is>
      </c>
      <c r="C6" s="2" t="inlineStr">
        <is>
          <t>13.1</t>
        </is>
      </c>
      <c r="D6" s="2" t="inlineStr">
        <is>
          <t>28 CD</t>
        </is>
      </c>
      <c r="E6" s="2" t="inlineStr">
        <is>
          <t>28</t>
        </is>
      </c>
      <c r="F6" s="2" t="inlineStr">
        <is>
          <t>7</t>
        </is>
      </c>
      <c r="G6" s="2" t="inlineStr">
        <is>
          <t>1</t>
        </is>
      </c>
      <c r="H6" s="2" t="inlineStr">
        <is>
          <t>7</t>
        </is>
      </c>
      <c r="I6" s="2" t="inlineStr">
        <is>
          <t>14</t>
        </is>
      </c>
      <c r="J6" s="2" t="inlineStr">
        <is>
          <t>Auto-escalate to Dir</t>
        </is>
      </c>
      <c r="K6" s="2" t="inlineStr">
        <is>
          <t>R03</t>
        </is>
      </c>
      <c r="L6" s="2" t="inlineStr">
        <is>
          <t>R02</t>
        </is>
      </c>
      <c r="M6" s="2" t="inlineStr">
        <is>
          <t>Stage 5</t>
        </is>
      </c>
      <c r="N6" s="2" t="inlineStr">
        <is>
          <t>PF-03</t>
        </is>
      </c>
    </row>
    <row r="7">
      <c r="A7" s="2" t="inlineStr">
        <is>
          <t>SLA-006</t>
        </is>
      </c>
      <c r="B7" s="2" t="inlineStr">
        <is>
          <t>IPC Certification</t>
        </is>
      </c>
      <c r="C7" s="2" t="inlineStr">
        <is>
          <t>14.6</t>
        </is>
      </c>
      <c r="D7" s="2" t="inlineStr">
        <is>
          <t>28 CD</t>
        </is>
      </c>
      <c r="E7" s="2" t="inlineStr">
        <is>
          <t>28</t>
        </is>
      </c>
      <c r="F7" s="2" t="inlineStr">
        <is>
          <t>7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7</t>
        </is>
      </c>
      <c r="J7" s="2" t="inlineStr">
        <is>
          <t>Finance alert + interest calc</t>
        </is>
      </c>
      <c r="K7" s="2" t="inlineStr">
        <is>
          <t>R05</t>
        </is>
      </c>
      <c r="L7" s="2" t="inlineStr">
        <is>
          <t>R02</t>
        </is>
      </c>
      <c r="M7" s="2" t="inlineStr">
        <is>
          <t>Stage 5-7</t>
        </is>
      </c>
      <c r="N7" s="2" t="inlineStr">
        <is>
          <t>PF-08</t>
        </is>
      </c>
    </row>
    <row r="8">
      <c r="A8" s="2" t="inlineStr">
        <is>
          <t>SLA-007</t>
        </is>
      </c>
      <c r="B8" s="2" t="inlineStr">
        <is>
          <t>Claim Determination</t>
        </is>
      </c>
      <c r="C8" s="2" t="inlineStr">
        <is>
          <t>20.1</t>
        </is>
      </c>
      <c r="D8" s="2" t="inlineStr">
        <is>
          <t>42 CD</t>
        </is>
      </c>
      <c r="E8" s="2" t="inlineStr">
        <is>
          <t>42</t>
        </is>
      </c>
      <c r="F8" s="2" t="inlineStr">
        <is>
          <t>14</t>
        </is>
      </c>
      <c r="G8" s="2" t="inlineStr">
        <is>
          <t>1</t>
        </is>
      </c>
      <c r="H8" s="2" t="inlineStr">
        <is>
          <t>7</t>
        </is>
      </c>
      <c r="I8" s="2" t="inlineStr">
        <is>
          <t>14</t>
        </is>
      </c>
      <c r="J8" s="2" t="inlineStr">
        <is>
          <t>Flag for DAB referral</t>
        </is>
      </c>
      <c r="K8" s="2" t="inlineStr">
        <is>
          <t>R03</t>
        </is>
      </c>
      <c r="L8" s="2" t="inlineStr">
        <is>
          <t>R01</t>
        </is>
      </c>
      <c r="M8" s="2" t="inlineStr">
        <is>
          <t>Stage 5-7</t>
        </is>
      </c>
      <c r="N8" s="2" t="inlineStr">
        <is>
          <t>PF-03</t>
        </is>
      </c>
    </row>
    <row r="9">
      <c r="A9" s="2" t="inlineStr">
        <is>
          <t>SLA-008</t>
        </is>
      </c>
      <c r="B9" s="2" t="inlineStr">
        <is>
          <t>EOT Determination</t>
        </is>
      </c>
      <c r="C9" s="2" t="inlineStr">
        <is>
          <t>8.4</t>
        </is>
      </c>
      <c r="D9" s="2" t="inlineStr">
        <is>
          <t>42 CD</t>
        </is>
      </c>
      <c r="E9" s="2" t="inlineStr">
        <is>
          <t>42</t>
        </is>
      </c>
      <c r="F9" s="2" t="inlineStr">
        <is>
          <t>14</t>
        </is>
      </c>
      <c r="G9" s="2" t="inlineStr">
        <is>
          <t>1</t>
        </is>
      </c>
      <c r="H9" s="2" t="inlineStr">
        <is>
          <t>7</t>
        </is>
      </c>
      <c r="I9" s="2" t="inlineStr">
        <is>
          <t>14</t>
        </is>
      </c>
      <c r="J9" s="2" t="inlineStr">
        <is>
          <t>Flag for DAB referral</t>
        </is>
      </c>
      <c r="K9" s="2" t="inlineStr">
        <is>
          <t>R09</t>
        </is>
      </c>
      <c r="L9" s="2" t="inlineStr">
        <is>
          <t>R02</t>
        </is>
      </c>
      <c r="M9" s="2" t="inlineStr">
        <is>
          <t>Stage 5-7</t>
        </is>
      </c>
      <c r="N9" s="2" t="inlineStr">
        <is>
          <t>PF-03</t>
        </is>
      </c>
    </row>
    <row r="10">
      <c r="A10" s="2" t="inlineStr">
        <is>
          <t>SLA-009</t>
        </is>
      </c>
      <c r="B10" s="2" t="inlineStr">
        <is>
          <t>NCR Closure</t>
        </is>
      </c>
      <c r="C10" s="2" t="inlineStr">
        <is>
          <t>N/A</t>
        </is>
      </c>
      <c r="D10" s="2" t="inlineStr">
        <is>
          <t>14 CD</t>
        </is>
      </c>
      <c r="E10" s="2" t="inlineStr">
        <is>
          <t>14</t>
        </is>
      </c>
      <c r="F10" s="2" t="inlineStr">
        <is>
          <t>3</t>
        </is>
      </c>
      <c r="G10" s="2" t="inlineStr">
        <is>
          <t>1</t>
        </is>
      </c>
      <c r="H10" s="2" t="inlineStr">
        <is>
          <t>3</t>
        </is>
      </c>
      <c r="I10" s="2" t="inlineStr">
        <is>
          <t>7</t>
        </is>
      </c>
      <c r="J10" s="2" t="inlineStr">
        <is>
          <t>Block next IPC</t>
        </is>
      </c>
      <c r="K10" s="2" t="inlineStr">
        <is>
          <t>R06</t>
        </is>
      </c>
      <c r="L10" s="2" t="inlineStr">
        <is>
          <t>R02</t>
        </is>
      </c>
      <c r="M10" s="2" t="inlineStr">
        <is>
          <t>Stage 5-6</t>
        </is>
      </c>
      <c r="N10" s="2" t="inlineStr">
        <is>
          <t>PF-10</t>
        </is>
      </c>
    </row>
    <row r="11">
      <c r="A11" s="2" t="inlineStr">
        <is>
          <t>SLA-010</t>
        </is>
      </c>
      <c r="B11" s="2" t="inlineStr">
        <is>
          <t>RFI Response</t>
        </is>
      </c>
      <c r="C11" s="2" t="inlineStr">
        <is>
          <t>N/A</t>
        </is>
      </c>
      <c r="D11" s="2" t="inlineStr">
        <is>
          <t>7 CD</t>
        </is>
      </c>
      <c r="E11" s="2" t="inlineStr">
        <is>
          <t>7</t>
        </is>
      </c>
      <c r="F11" s="2" t="inlineStr">
        <is>
          <t>2</t>
        </is>
      </c>
      <c r="G11" s="2" t="inlineStr">
        <is>
          <t>1</t>
        </is>
      </c>
      <c r="H11" s="2" t="inlineStr">
        <is>
          <t>2</t>
        </is>
      </c>
      <c r="I11" s="2" t="inlineStr">
        <is>
          <t>5</t>
        </is>
      </c>
      <c r="J11" s="2" t="inlineStr">
        <is>
          <t>Auto-escalate to PM</t>
        </is>
      </c>
      <c r="K11" s="2" t="inlineStr">
        <is>
          <t>R04</t>
        </is>
      </c>
      <c r="L11" s="2" t="inlineStr">
        <is>
          <t>R02</t>
        </is>
      </c>
      <c r="M11" s="2" t="inlineStr">
        <is>
          <t>Stage 4-6</t>
        </is>
      </c>
      <c r="N11" s="2" t="inlineStr">
        <is>
          <t>PF-01</t>
        </is>
      </c>
    </row>
    <row r="12">
      <c r="A12" s="2" t="inlineStr">
        <is>
          <t>SLA-011</t>
        </is>
      </c>
      <c r="B12" s="2" t="inlineStr">
        <is>
          <t>Gate Checklist Completion</t>
        </is>
      </c>
      <c r="C12" s="2" t="inlineStr">
        <is>
          <t>N/A</t>
        </is>
      </c>
      <c r="D12" s="2" t="inlineStr">
        <is>
          <t>5 CD before gate</t>
        </is>
      </c>
      <c r="E12" s="2" t="inlineStr">
        <is>
          <t>5</t>
        </is>
      </c>
      <c r="F12" s="2" t="inlineStr">
        <is>
          <t>2</t>
        </is>
      </c>
      <c r="G12" s="2" t="inlineStr">
        <is>
          <t>1</t>
        </is>
      </c>
      <c r="H12" s="2" t="inlineStr">
        <is>
          <t>2</t>
        </is>
      </c>
      <c r="I12" s="2" t="inlineStr">
        <is>
          <t>3</t>
        </is>
      </c>
      <c r="J12" s="2" t="inlineStr">
        <is>
          <t>Block gate progression</t>
        </is>
      </c>
      <c r="K12" s="2" t="inlineStr">
        <is>
          <t>R02</t>
        </is>
      </c>
      <c r="L12" s="2" t="inlineStr">
        <is>
          <t>R01</t>
        </is>
      </c>
      <c r="M12" s="2" t="inlineStr">
        <is>
          <t>Stage 0-8</t>
        </is>
      </c>
      <c r="N12" s="2" t="inlineStr">
        <is>
          <t>PF-05</t>
        </is>
      </c>
    </row>
    <row r="13">
      <c r="A13" s="2" t="inlineStr">
        <is>
          <t>SLA-012</t>
        </is>
      </c>
      <c r="B13" s="2" t="inlineStr">
        <is>
          <t>Freeze Exception Decision</t>
        </is>
      </c>
      <c r="C13" s="2" t="inlineStr">
        <is>
          <t>N/A</t>
        </is>
      </c>
      <c r="D13" s="2" t="inlineStr">
        <is>
          <t>14 CD</t>
        </is>
      </c>
      <c r="E13" s="2" t="inlineStr">
        <is>
          <t>14</t>
        </is>
      </c>
      <c r="F13" s="2" t="inlineStr">
        <is>
          <t>3</t>
        </is>
      </c>
      <c r="G13" s="2" t="inlineStr">
        <is>
          <t>1</t>
        </is>
      </c>
      <c r="H13" s="2" t="inlineStr">
        <is>
          <t>3</t>
        </is>
      </c>
      <c r="I13" s="2" t="inlineStr">
        <is>
          <t>7</t>
        </is>
      </c>
      <c r="J13" s="2" t="inlineStr">
        <is>
          <t>Auto-escalate to Dir</t>
        </is>
      </c>
      <c r="K13" s="2" t="inlineStr">
        <is>
          <t>R02</t>
        </is>
      </c>
      <c r="L13" s="2" t="inlineStr">
        <is>
          <t>R01</t>
        </is>
      </c>
      <c r="M13" s="2" t="inlineStr">
        <is>
          <t>Stage 3-5</t>
        </is>
      </c>
      <c r="N13" s="2" t="inlineStr">
        <is>
          <t>PF-06</t>
        </is>
      </c>
    </row>
    <row r="14">
      <c r="A14" s="2" t="inlineStr">
        <is>
          <t>SLA-013</t>
        </is>
      </c>
      <c r="B14" s="2" t="inlineStr">
        <is>
          <t>Snag Rectification</t>
        </is>
      </c>
      <c r="C14" s="2" t="inlineStr">
        <is>
          <t>N/A</t>
        </is>
      </c>
      <c r="D14" s="2" t="inlineStr">
        <is>
          <t>7 CD (minor) / 14 CD (major)</t>
        </is>
      </c>
      <c r="E14" s="2" t="inlineStr">
        <is>
          <t>14</t>
        </is>
      </c>
      <c r="F14" s="2" t="inlineStr">
        <is>
          <t>3</t>
        </is>
      </c>
      <c r="G14" s="2" t="inlineStr">
        <is>
          <t>1</t>
        </is>
      </c>
      <c r="H14" s="2" t="inlineStr">
        <is>
          <t>3</t>
        </is>
      </c>
      <c r="I14" s="2" t="inlineStr">
        <is>
          <t>7</t>
        </is>
      </c>
      <c r="J14" s="2" t="inlineStr">
        <is>
          <t>Block TOC issuance</t>
        </is>
      </c>
      <c r="K14" s="2" t="inlineStr">
        <is>
          <t>R06</t>
        </is>
      </c>
      <c r="L14" s="2" t="inlineStr">
        <is>
          <t>R02</t>
        </is>
      </c>
      <c r="M14" s="2" t="inlineStr">
        <is>
          <t>Stage 6-7</t>
        </is>
      </c>
      <c r="N14" s="2" t="inlineStr">
        <is>
          <t>PF-31</t>
        </is>
      </c>
    </row>
    <row r="15">
      <c r="A15" s="2" t="inlineStr">
        <is>
          <t>SLA-014</t>
        </is>
      </c>
      <c r="B15" s="2" t="inlineStr">
        <is>
          <t>TOC Inspection</t>
        </is>
      </c>
      <c r="C15" s="2" t="inlineStr">
        <is>
          <t>10.1</t>
        </is>
      </c>
      <c r="D15" s="2" t="inlineStr">
        <is>
          <t>14 CD from application</t>
        </is>
      </c>
      <c r="E15" s="2" t="inlineStr">
        <is>
          <t>14</t>
        </is>
      </c>
      <c r="F15" s="2" t="inlineStr">
        <is>
          <t>3</t>
        </is>
      </c>
      <c r="G15" s="2" t="inlineStr">
        <is>
          <t>1</t>
        </is>
      </c>
      <c r="H15" s="2" t="inlineStr">
        <is>
          <t>3</t>
        </is>
      </c>
      <c r="I15" s="2" t="inlineStr">
        <is>
          <t>7</t>
        </is>
      </c>
      <c r="J15" s="2" t="inlineStr">
        <is>
          <t>Auto-escalate to Dir</t>
        </is>
      </c>
      <c r="K15" s="2" t="inlineStr">
        <is>
          <t>R02</t>
        </is>
      </c>
      <c r="L15" s="2" t="inlineStr">
        <is>
          <t>R01</t>
        </is>
      </c>
      <c r="M15" s="2" t="inlineStr">
        <is>
          <t>Stage 6</t>
        </is>
      </c>
      <c r="N15" s="2" t="inlineStr">
        <is>
          <t>PF-28</t>
        </is>
      </c>
    </row>
    <row r="16">
      <c r="A16" s="2" t="inlineStr">
        <is>
          <t>SLA-015</t>
        </is>
      </c>
      <c r="B16" s="2" t="inlineStr">
        <is>
          <t>Performance Certificate</t>
        </is>
      </c>
      <c r="C16" s="2" t="inlineStr">
        <is>
          <t>11.9</t>
        </is>
      </c>
      <c r="D16" s="2" t="inlineStr">
        <is>
          <t>28 CD after DLP</t>
        </is>
      </c>
      <c r="E16" s="2" t="inlineStr">
        <is>
          <t>28</t>
        </is>
      </c>
      <c r="F16" s="2" t="inlineStr">
        <is>
          <t>7</t>
        </is>
      </c>
      <c r="G16" s="2" t="inlineStr">
        <is>
          <t>1</t>
        </is>
      </c>
      <c r="H16" s="2" t="inlineStr">
        <is>
          <t>7</t>
        </is>
      </c>
      <c r="I16" s="2" t="inlineStr">
        <is>
          <t>14</t>
        </is>
      </c>
      <c r="J16" s="2" t="inlineStr">
        <is>
          <t>Deemed issued per FIDIC</t>
        </is>
      </c>
      <c r="K16" s="2" t="inlineStr">
        <is>
          <t>R02</t>
        </is>
      </c>
      <c r="L16" s="2" t="inlineStr">
        <is>
          <t>R01</t>
        </is>
      </c>
      <c r="M16" s="2" t="inlineStr">
        <is>
          <t>Stage 7-8</t>
        </is>
      </c>
      <c r="N16" s="2" t="inlineStr">
        <is>
          <t>PF-30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Level</t>
        </is>
      </c>
      <c r="B1" s="1" t="inlineStr">
        <is>
          <t>Trigger</t>
        </is>
      </c>
      <c r="C1" s="1" t="inlineStr">
        <is>
          <t>Escalated To</t>
        </is>
      </c>
      <c r="D1" s="1" t="inlineStr">
        <is>
          <t>Response Time</t>
        </is>
      </c>
      <c r="E1" s="1" t="inlineStr">
        <is>
          <t>Authority</t>
        </is>
      </c>
      <c r="F1" s="1" t="inlineStr">
        <is>
          <t>Notification Method</t>
        </is>
      </c>
    </row>
    <row r="2">
      <c r="A2" s="2" t="inlineStr">
        <is>
          <t>L1 - Alert</t>
        </is>
      </c>
      <c r="B2" s="2" t="inlineStr">
        <is>
          <t>SLA Warning threshold reached</t>
        </is>
      </c>
      <c r="C2" s="2" t="inlineStr">
        <is>
          <t>Assigned User + Direct Supervisor</t>
        </is>
      </c>
      <c r="D2" s="2" t="inlineStr">
        <is>
          <t>Same day</t>
        </is>
      </c>
      <c r="E2" s="2" t="inlineStr">
        <is>
          <t>Reminder only</t>
        </is>
      </c>
      <c r="F2" s="2" t="inlineStr">
        <is>
          <t>Email + In-app notification</t>
        </is>
      </c>
    </row>
    <row r="3">
      <c r="A3" s="2" t="inlineStr">
        <is>
          <t>L2 - Escalation</t>
        </is>
      </c>
      <c r="B3" s="2" t="inlineStr">
        <is>
          <t>1 CD past SLA deadline</t>
        </is>
      </c>
      <c r="C3" s="2" t="inlineStr">
        <is>
          <t>Department Head / HAI PM</t>
        </is>
      </c>
      <c r="D3" s="2" t="inlineStr">
        <is>
          <t>4 hours</t>
        </is>
      </c>
      <c r="E3" s="2" t="inlineStr">
        <is>
          <t>Can reassign or extend SLA</t>
        </is>
      </c>
      <c r="F3" s="2" t="inlineStr">
        <is>
          <t>Email + SMS + In-app</t>
        </is>
      </c>
    </row>
    <row r="4">
      <c r="A4" s="2" t="inlineStr">
        <is>
          <t>L3 - Management</t>
        </is>
      </c>
      <c r="B4" s="2" t="inlineStr">
        <is>
          <t>3 CD past SLA deadline</t>
        </is>
      </c>
      <c r="C4" s="2" t="inlineStr">
        <is>
          <t>HAI Programme Director</t>
        </is>
      </c>
      <c r="D4" s="2" t="inlineStr">
        <is>
          <t>2 hours</t>
        </is>
      </c>
      <c r="E4" s="2" t="inlineStr">
        <is>
          <t>Can override, impose penalties</t>
        </is>
      </c>
      <c r="F4" s="2" t="inlineStr">
        <is>
          <t>Email + SMS + Phone call</t>
        </is>
      </c>
    </row>
    <row r="5">
      <c r="A5" s="2" t="inlineStr">
        <is>
          <t>L4 - Executive</t>
        </is>
      </c>
      <c r="B5" s="2" t="inlineStr">
        <is>
          <t>7 CD past SLA deadline</t>
        </is>
      </c>
      <c r="C5" s="2" t="inlineStr">
        <is>
          <t>Employer Representative</t>
        </is>
      </c>
      <c r="D5" s="2" t="inlineStr">
        <is>
          <t>1 hour</t>
        </is>
      </c>
      <c r="E5" s="2" t="inlineStr">
        <is>
          <t>Full contractual authority</t>
        </is>
      </c>
      <c r="F5" s="2" t="inlineStr">
        <is>
          <t>Email + SMS + Phone + Meeting</t>
        </is>
      </c>
    </row>
    <row r="6">
      <c r="A6" s="2" t="inlineStr">
        <is>
          <t>L5 - Contract</t>
        </is>
      </c>
      <c r="B6" s="2" t="inlineStr">
        <is>
          <t>14 CD past SLA deadline</t>
        </is>
      </c>
      <c r="C6" s="2" t="inlineStr">
        <is>
          <t>Employer Board / Legal</t>
        </is>
      </c>
      <c r="D6" s="2" t="inlineStr">
        <is>
          <t>Immediate</t>
        </is>
      </c>
      <c r="E6" s="2" t="inlineStr">
        <is>
          <t>Contractual enforcement, DAB referral</t>
        </is>
      </c>
      <c r="F6" s="2" t="inlineStr">
        <is>
          <t>Formal notice per FIDIC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2026-03-03T06:20:54Z</dcterms:created>
  <dcterms:modified xmlns:dcterms="http://purl.org/dc/terms/" xmlns:xsi="http://www.w3.org/2001/XMLSchema-instance" xsi:type="dcterms:W3CDTF">2026-03-03T06:29:46Z</dcterms:modified>
</cp:coreProperties>
</file>