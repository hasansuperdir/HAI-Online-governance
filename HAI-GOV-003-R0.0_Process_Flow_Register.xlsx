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xmlns:r="http://schemas.openxmlformats.org/officeDocument/2006/relationships" name="Process Flow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W Traceability" sheetId="3" state="visible" r:id="rId3"/>
    <sheet xmlns:r="http://schemas.openxmlformats.org/officeDocument/2006/relationships" name="Dependency Map" sheetId="4" state="visible" r:id="rId4"/>
    <sheet xmlns:r="http://schemas.openxmlformats.org/officeDocument/2006/relationships" name="Document Control" sheetId="5" state="visible" r:id="rId5"/>
  </sheets>
  <definedNames>
    <definedName name="_xlnm._FilterDatabase" localSheetId="0" hidden="1">'Process Flow Register'!$A$1:$S$1</definedName>
    <definedName name="_xlnm.Print_Area" localSheetId="0">'Process Flow Register'!$A$1:$S$24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b val="1"/>
      <color rgb="FF1B2A4A"/>
      <sz val="9"/>
    </font>
    <font>
      <name val="Arial"/>
      <charset val="1"/>
      <color rgb="FF1B2A4A"/>
      <sz val="9"/>
    </font>
  </fonts>
  <fills count="16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6FA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CDD2"/>
        <bgColor rgb="FFFFE0B2"/>
      </patternFill>
    </fill>
    <fill>
      <patternFill patternType="solid">
        <fgColor rgb="FFFFF3E0"/>
        <bgColor rgb="FFF2F6FA"/>
      </patternFill>
    </fill>
    <fill>
      <patternFill patternType="solid">
        <fgColor rgb="FFFFE0B2"/>
        <bgColor rgb="FFFFCDD2"/>
      </patternFill>
    </fill>
    <fill>
      <patternFill patternType="solid">
        <fgColor rgb="FFE3F2FD"/>
        <bgColor rgb="FFE8EAF6"/>
      </patternFill>
    </fill>
    <fill>
      <patternFill patternType="solid">
        <fgColor rgb="FFF3E5F5"/>
        <bgColor rgb="FFE8EAF6"/>
      </patternFill>
    </fill>
    <fill>
      <patternFill patternType="solid">
        <fgColor rgb="FFE8EAF6"/>
        <bgColor rgb="FFE3F2FD"/>
      </patternFill>
    </fill>
    <fill>
      <patternFill patternType="solid">
        <fgColor rgb="FF2E7D32"/>
        <bgColor rgb="FF008080"/>
      </patternFill>
    </fill>
    <fill>
      <patternFill patternType="solid">
        <fgColor rgb="FFC8E6C9"/>
        <bgColor rgb="FFE8EAF6"/>
      </patternFill>
    </fill>
    <fill>
      <patternFill patternType="solid">
        <fgColor rgb="FFE65100"/>
        <bgColor rgb="FF993300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2" fillId="10" borderId="1" pivotButton="0" quotePrefix="0" xfId="0"/>
    <xf numFmtId="0" fontId="2" fillId="10" borderId="1" applyAlignment="1" pivotButton="0" quotePrefix="0" xfId="0">
      <alignment horizontal="center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3" fillId="10" borderId="1" pivotButton="0" quotePrefix="0" xfId="0"/>
    <xf numFmtId="0" fontId="0" fillId="14" borderId="2" applyAlignment="1" pivotButton="0" quotePrefix="0" xfId="0">
      <alignment horizontal="left" vertical="top" wrapText="1"/>
    </xf>
    <xf numFmtId="0" fontId="0" fillId="15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0BEC5"/>
      <rgbColor rgb="FF607D8B"/>
      <rgbColor rgb="FF9999FF"/>
      <rgbColor rgb="FF993366"/>
      <rgbColor rgb="FFFFF3E0"/>
      <rgbColor rgb="FFE3F2FD"/>
      <rgbColor rgb="FF660066"/>
      <rgbColor rgb="FFFF8080"/>
      <rgbColor rgb="FF0066CC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2F6FA"/>
      <rgbColor rgb="FFF3E5F5"/>
      <rgbColor rgb="FFFFCDD2"/>
      <rgbColor rgb="FFCC99FF"/>
      <rgbColor rgb="FFFFE0B2"/>
      <rgbColor rgb="FF3366FF"/>
      <rgbColor rgb="FF33CCCC"/>
      <rgbColor rgb="FF99CC00"/>
      <rgbColor rgb="FFFFCC00"/>
      <rgbColor rgb="FFFF9800"/>
      <rgbColor rgb="FFE65100"/>
      <rgbColor rgb="FF4A6FA5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2A4A"/>
    <outlinePr summaryBelow="1" summaryRight="1"/>
    <pageSetUpPr fitToPage="1"/>
  </sheetPr>
  <dimension ref="A1:S40"/>
  <sheetViews>
    <sheetView tabSelected="1" zoomScale="4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0" sqref="I10"/>
    </sheetView>
  </sheetViews>
  <sheetFormatPr baseColWidth="10" defaultColWidth="8.6640625" defaultRowHeight="15" customHeight="1"/>
  <cols>
    <col width="10" customWidth="1" min="1" max="1"/>
    <col width="17.1640625" customWidth="1" min="2" max="2"/>
    <col width="18" customWidth="1" min="3" max="3"/>
    <col width="22" customWidth="1" min="4" max="4"/>
    <col width="10.5" customWidth="1" min="5" max="5"/>
    <col width="16" customWidth="1" min="6" max="6"/>
    <col width="22" customWidth="1" min="7" max="7"/>
    <col width="30" customWidth="1" min="8" max="8"/>
    <col width="22" customWidth="1" min="9" max="9"/>
    <col width="14" customWidth="1" min="10" max="10"/>
    <col width="8" customWidth="1" min="11" max="11"/>
    <col width="9.1640625" customWidth="1" min="12" max="12"/>
    <col width="7.83203125" customWidth="1" min="13" max="13"/>
    <col width="11" customWidth="1" min="14" max="14"/>
    <col width="12.1640625" customWidth="1" min="15" max="15"/>
    <col width="8.6640625" customWidth="1" min="16" max="16"/>
    <col width="10" customWidth="1" min="17" max="17"/>
    <col width="11.83203125" customWidth="1" min="18" max="18"/>
    <col width="36" customWidth="1" min="19" max="19"/>
  </cols>
  <sheetData>
    <row r="1" ht="36" customHeight="1">
      <c r="A1" s="1" t="inlineStr">
        <is>
          <t>PF-ID</t>
        </is>
      </c>
      <c r="B1" s="1" t="inlineStr">
        <is>
          <t>Process Flow Name</t>
        </is>
      </c>
      <c r="C1" s="1" t="inlineStr">
        <is>
          <t>Category</t>
        </is>
      </c>
      <c r="D1" s="1" t="inlineStr">
        <is>
          <t>SOW Module(s)</t>
        </is>
      </c>
      <c r="E1" s="1" t="inlineStr">
        <is>
          <t>SOW Req Ref(s)</t>
        </is>
      </c>
      <c r="F1" s="1" t="inlineStr">
        <is>
          <t>RIBA Stage(s)</t>
        </is>
      </c>
      <c r="G1" s="1" t="inlineStr">
        <is>
          <t>Primary Actor(s)</t>
        </is>
      </c>
      <c r="H1" s="1" t="inlineStr">
        <is>
          <t>Key Decision Points</t>
        </is>
      </c>
      <c r="I1" s="1" t="inlineStr">
        <is>
          <t>Freeze Interaction</t>
        </is>
      </c>
      <c r="J1" s="1" t="inlineStr">
        <is>
          <t>ERP Sync Required</t>
        </is>
      </c>
      <c r="K1" s="1" t="inlineStr">
        <is>
          <t>Phase</t>
        </is>
      </c>
      <c r="L1" s="1" t="inlineStr">
        <is>
          <t>Priority</t>
        </is>
      </c>
      <c r="M1" s="1" t="inlineStr">
        <is>
          <t>Est. Steps</t>
        </is>
      </c>
      <c r="N1" s="1" t="inlineStr">
        <is>
          <t>Predecessor PF(s)</t>
        </is>
      </c>
      <c r="O1" s="1" t="inlineStr">
        <is>
          <t>Downstream PF(s)</t>
        </is>
      </c>
      <c r="P1" s="1" t="inlineStr">
        <is>
          <t>Workshop Ref</t>
        </is>
      </c>
      <c r="Q1" s="1" t="inlineStr">
        <is>
          <t>Status</t>
        </is>
      </c>
      <c r="R1" s="1" t="inlineStr">
        <is>
          <t>Owner</t>
        </is>
      </c>
      <c r="S1" s="1" t="inlineStr">
        <is>
          <t>Notes / Scope Boundary</t>
        </is>
      </c>
    </row>
    <row r="2" ht="55.5" customHeight="1">
      <c r="A2" s="2" t="inlineStr">
        <is>
          <t>PF-01</t>
        </is>
      </c>
      <c r="B2" s="3" t="inlineStr">
        <is>
          <t>Document Review</t>
        </is>
      </c>
      <c r="C2" s="3" t="inlineStr">
        <is>
          <t>Document Management</t>
        </is>
      </c>
      <c r="D2" s="3" t="inlineStr">
        <is>
          <t>M1: EDMS, M2: Doc Workflow</t>
        </is>
      </c>
      <c r="E2" s="3" t="inlineStr">
        <is>
          <t>D.1–D.9, SG.1</t>
        </is>
      </c>
      <c r="F2" s="3" t="inlineStr">
        <is>
          <t>0–8 (All)</t>
        </is>
      </c>
      <c r="G2" s="3" t="inlineStr">
        <is>
          <t>Contractor DC, HAI-DC, HAI Engineer, HAI PM</t>
        </is>
      </c>
      <c r="H2" s="3" t="inlineStr">
        <is>
          <t>QC Pass/Fail (×2), Review Status (APP/REJ/APP-COM/INFO), Consolidation Validation</t>
        </is>
      </c>
      <c r="I2" s="3" t="inlineStr">
        <is>
          <t>Regulatory Freeze blocks design resubmission</t>
        </is>
      </c>
      <c r="J2" s="4" t="inlineStr">
        <is>
          <t>No</t>
        </is>
      </c>
      <c r="K2" s="5" t="inlineStr">
        <is>
          <t>Ph1</t>
        </is>
      </c>
      <c r="L2" s="6" t="inlineStr">
        <is>
          <t>Critical</t>
        </is>
      </c>
      <c r="M2" s="4" t="n">
        <v>8</v>
      </c>
      <c r="N2" s="3" t="inlineStr">
        <is>
          <t>—</t>
        </is>
      </c>
      <c r="O2" s="3" t="inlineStr">
        <is>
          <t>PF-03, PF-05, PF-07</t>
        </is>
      </c>
      <c r="P2" s="3" t="inlineStr">
        <is>
          <t>W2, W10</t>
        </is>
      </c>
      <c r="Q2" s="7" t="inlineStr">
        <is>
          <t>To Be Developed</t>
        </is>
      </c>
      <c r="R2" s="3" t="inlineStr">
        <is>
          <t>HAI PMO</t>
        </is>
      </c>
      <c r="S2" s="3" t="inlineStr">
        <is>
          <t>Full 8-step closed-loop per SOW §4. Includes cover page validation, auto-numbering, SLA timers D+3/D+5/D+7, PDF markup, transmittal register.</t>
        </is>
      </c>
    </row>
    <row r="3" ht="55.5" customHeight="1">
      <c r="A3" s="8" t="inlineStr">
        <is>
          <t>PF-02</t>
        </is>
      </c>
      <c r="B3" s="9" t="inlineStr">
        <is>
          <t>Correspondence</t>
        </is>
      </c>
      <c r="C3" s="9" t="inlineStr">
        <is>
          <t>Document Management</t>
        </is>
      </c>
      <c r="D3" s="9" t="inlineStr">
        <is>
          <t>M3: Correspondence</t>
        </is>
      </c>
      <c r="E3" s="9" t="inlineStr">
        <is>
          <t>C.1, C.2</t>
        </is>
      </c>
      <c r="F3" s="9" t="inlineStr">
        <is>
          <t>4–6 (Execution–Handover)</t>
        </is>
      </c>
      <c r="G3" s="9" t="inlineStr">
        <is>
          <t>HAI PM, Contractor, Consultant</t>
        </is>
      </c>
      <c r="H3" s="9" t="inlineStr">
        <is>
          <t>Notice validity check, Response deadline, Determination trigger</t>
        </is>
      </c>
      <c r="I3" s="9" t="inlineStr">
        <is>
          <t>None direct; supports claims defense</t>
        </is>
      </c>
      <c r="J3" s="10" t="inlineStr">
        <is>
          <t>No</t>
        </is>
      </c>
      <c r="K3" s="5" t="inlineStr">
        <is>
          <t>Ph1</t>
        </is>
      </c>
      <c r="L3" s="6" t="inlineStr">
        <is>
          <t>Critical</t>
        </is>
      </c>
      <c r="M3" s="10" t="n">
        <v>6</v>
      </c>
      <c r="N3" s="9" t="inlineStr">
        <is>
          <t>PF-01</t>
        </is>
      </c>
      <c r="O3" s="9" t="inlineStr">
        <is>
          <t>PF-03, PF-11</t>
        </is>
      </c>
      <c r="P3" s="9" t="inlineStr">
        <is>
          <t>W2</t>
        </is>
      </c>
      <c r="Q3" s="7" t="inlineStr">
        <is>
          <t>To Be Developed</t>
        </is>
      </c>
      <c r="R3" s="9" t="inlineStr">
        <is>
          <t>HAI PMO</t>
        </is>
      </c>
      <c r="S3" s="9" t="inlineStr">
        <is>
          <t>Letter registry, HAI templates, FIDIC Notice→Response→Determination sequence, email capture, linked to project/contract.</t>
        </is>
      </c>
    </row>
    <row r="4" ht="55.5" customHeight="1">
      <c r="A4" s="2" t="inlineStr">
        <is>
          <t>PF-03</t>
        </is>
      </c>
      <c r="B4" s="3" t="inlineStr">
        <is>
          <t>Variation Order</t>
        </is>
      </c>
      <c r="C4" s="3" t="inlineStr">
        <is>
          <t>Financial Control</t>
        </is>
      </c>
      <c r="D4" s="3" t="inlineStr">
        <is>
          <t>M7: Quality &amp; Site, M15: ERP</t>
        </is>
      </c>
      <c r="E4" s="3" t="inlineStr">
        <is>
          <t>G.6, E.1, K.3</t>
        </is>
      </c>
      <c r="F4" s="3" t="inlineStr">
        <is>
          <t>5 (Construction)</t>
        </is>
      </c>
      <c r="G4" s="3" t="inlineStr">
        <is>
          <t>Contractor, HAI QS, HAI PM, HAI Finance, Approver</t>
        </is>
      </c>
      <c r="H4" s="3" t="inlineStr">
        <is>
          <t>QS verification, PM endorsement, Finance review, Spatial Coordination breach check, Final approval</t>
        </is>
      </c>
      <c r="I4" s="3" t="inlineStr">
        <is>
          <t>Budget Freeze: IPC cannot exceed frozen baseline without variation</t>
        </is>
      </c>
      <c r="J4" s="4" t="inlineStr">
        <is>
          <t>Yes — push to ERP for payment</t>
        </is>
      </c>
      <c r="K4" s="5" t="inlineStr">
        <is>
          <t>Ph1</t>
        </is>
      </c>
      <c r="L4" s="6" t="inlineStr">
        <is>
          <t>Critical</t>
        </is>
      </c>
      <c r="M4" s="4" t="n">
        <v>6</v>
      </c>
      <c r="N4" s="3" t="inlineStr">
        <is>
          <t>PF-01, PF-09</t>
        </is>
      </c>
      <c r="O4" s="3" t="inlineStr">
        <is>
          <t>PF-15</t>
        </is>
      </c>
      <c r="P4" s="3" t="inlineStr">
        <is>
          <t>W3</t>
        </is>
      </c>
      <c r="Q4" s="7" t="inlineStr">
        <is>
          <t>To Be Developed</t>
        </is>
      </c>
      <c r="R4" s="3" t="inlineStr">
        <is>
          <t>HAI PMO</t>
        </is>
      </c>
      <c r="S4" s="3" t="inlineStr">
        <is>
          <t>Per SOW Roadmap PF-02. BOQ pull, retention calc, advance recovery, threshold flags, KPI: processing time.</t>
        </is>
      </c>
    </row>
    <row r="5" ht="55.5" customHeight="1">
      <c r="A5" s="8" t="inlineStr">
        <is>
          <t>PF-04</t>
        </is>
      </c>
      <c r="B5" s="9" t="inlineStr">
        <is>
          <t>Procurement</t>
        </is>
      </c>
      <c r="C5" s="9" t="inlineStr">
        <is>
          <t>Financial Control</t>
        </is>
      </c>
      <c r="D5" s="9" t="inlineStr">
        <is>
          <t>M7: Execution, M4: Governance</t>
        </is>
      </c>
      <c r="E5" s="9" t="inlineStr">
        <is>
          <t>G.1–G.4, G.6, SG.6</t>
        </is>
      </c>
      <c r="F5" s="9" t="inlineStr">
        <is>
          <t>3–5 (Technical Design–Construction)</t>
        </is>
      </c>
      <c r="G5" s="9" t="inlineStr">
        <is>
          <t>PM/Contractor (originator), HAI PM, HAI QS, HAI Finance, Approval Authority</t>
        </is>
      </c>
      <c r="H5" s="9" t="inlineStr">
        <is>
          <t>Validity check, Freeze check (triggers PF-06 if frozen), Pricing assessment, Spatial Coordination impact, Value-based delegation</t>
        </is>
      </c>
      <c r="I5" s="9" t="inlineStr">
        <is>
          <t>Scope/Technical Design/Budget Freeze: variation on frozen scope triggers PF-06</t>
        </is>
      </c>
      <c r="J5" s="10" t="inlineStr">
        <is>
          <t>Yes — budget baseline update to ERP</t>
        </is>
      </c>
      <c r="K5" s="5" t="inlineStr">
        <is>
          <t>Ph1</t>
        </is>
      </c>
      <c r="L5" s="6" t="inlineStr">
        <is>
          <t>Critical</t>
        </is>
      </c>
      <c r="M5" s="10" t="n">
        <v>6</v>
      </c>
      <c r="N5" s="9" t="inlineStr">
        <is>
          <t>PF-06, PF-01</t>
        </is>
      </c>
      <c r="O5" s="9" t="inlineStr">
        <is>
          <t>PF-03, PF-15</t>
        </is>
      </c>
      <c r="P5" s="9" t="inlineStr">
        <is>
          <t>W4</t>
        </is>
      </c>
      <c r="Q5" s="7" t="inlineStr">
        <is>
          <t>To Be Developed</t>
        </is>
      </c>
      <c r="R5" s="9" t="inlineStr">
        <is>
          <t>HAI PMO</t>
        </is>
      </c>
      <c r="S5" s="9" t="inlineStr">
        <is>
          <t>Per SOW Roadmap PF-03. Variation register, contract value adjustment, ERP commitment update, KPI: variation % trend.</t>
        </is>
      </c>
    </row>
    <row r="6" ht="55.5" customHeight="1">
      <c r="A6" s="2" t="inlineStr">
        <is>
          <t>PF-05</t>
        </is>
      </c>
      <c r="B6" s="3" t="inlineStr">
        <is>
          <t>Stage Gate</t>
        </is>
      </c>
      <c r="C6" s="3" t="inlineStr">
        <is>
          <t>Financial Control</t>
        </is>
      </c>
      <c r="D6" s="3" t="inlineStr">
        <is>
          <t>M4: Governance, M15: ERP</t>
        </is>
      </c>
      <c r="E6" s="3" t="inlineStr">
        <is>
          <t>G.1, G.5, G.6, E.2</t>
        </is>
      </c>
      <c r="F6" s="3" t="inlineStr">
        <is>
          <t>0–2 (Pre-Freeze)</t>
        </is>
      </c>
      <c r="G6" s="3" t="inlineStr">
        <is>
          <t>HAI PM, HAI Finance, CEO/Management</t>
        </is>
      </c>
      <c r="H6" s="3" t="inlineStr">
        <is>
          <t>Spatial Coordination envelope approval, Cost plan level sign-off (L0→L4), Spatial Coordination freeze activation</t>
        </is>
      </c>
      <c r="I6" s="3" t="inlineStr">
        <is>
          <t>This flow ACTIVATES Budget Freeze at Gate 3</t>
        </is>
      </c>
      <c r="J6" s="4" t="inlineStr">
        <is>
          <t>Yes — budget baseline lock to ERP</t>
        </is>
      </c>
      <c r="K6" s="5" t="inlineStr">
        <is>
          <t>Ph1</t>
        </is>
      </c>
      <c r="L6" s="6" t="inlineStr">
        <is>
          <t>Critical</t>
        </is>
      </c>
      <c r="M6" s="4" t="n">
        <v>5</v>
      </c>
      <c r="N6" s="3" t="inlineStr">
        <is>
          <t>PF-08</t>
        </is>
      </c>
      <c r="O6" s="3" t="inlineStr">
        <is>
          <t>PF-04, PF-06, PF-09</t>
        </is>
      </c>
      <c r="P6" s="3" t="inlineStr">
        <is>
          <t>W6, W9</t>
        </is>
      </c>
      <c r="Q6" s="7" t="inlineStr">
        <is>
          <t>To Be Developed</t>
        </is>
      </c>
      <c r="R6" s="3" t="inlineStr">
        <is>
          <t>HAI PMO</t>
        </is>
      </c>
      <c r="S6" s="3" t="inlineStr">
        <is>
          <t>Covers budget approval at each stage gate. Distinct from variation (PF-04) which modifies post-freeze baseline.</t>
        </is>
      </c>
    </row>
    <row r="7" ht="55.5" customHeight="1">
      <c r="A7" s="8" t="inlineStr">
        <is>
          <t>PF-06</t>
        </is>
      </c>
      <c r="B7" s="9" t="inlineStr">
        <is>
          <t>Freeze Exception</t>
        </is>
      </c>
      <c r="C7" s="9" t="inlineStr">
        <is>
          <t>Governance Control</t>
        </is>
      </c>
      <c r="D7" s="9" t="inlineStr">
        <is>
          <t>M4: Governance Gateways</t>
        </is>
      </c>
      <c r="E7" s="9" t="inlineStr">
        <is>
          <t>G.1–G.4, SG.6, SG.7</t>
        </is>
      </c>
      <c r="F7" s="9" t="inlineStr">
        <is>
          <t>3–6 (Post-Freeze stages)</t>
        </is>
      </c>
      <c r="G7" s="9" t="inlineStr">
        <is>
          <t>Requester, HAI PM, HAI Finance, Employer/Senior Authority</t>
        </is>
      </c>
      <c r="H7" s="9" t="inlineStr">
        <is>
          <t>Freeze type identification, Technical assessment, Financial impact, Higher-authority approval, Scope-limited lift</t>
        </is>
      </c>
      <c r="I7" s="9" t="inlineStr">
        <is>
          <t>Core freeze mechanism — controls all 4 freeze types (Spatial Coordination/Technical Design/Scope/Regulatory)</t>
        </is>
      </c>
      <c r="J7" s="10" t="inlineStr">
        <is>
          <t>Yes — if budget freeze exception</t>
        </is>
      </c>
      <c r="K7" s="5" t="inlineStr">
        <is>
          <t>Ph1</t>
        </is>
      </c>
      <c r="L7" s="6" t="inlineStr">
        <is>
          <t>Critical</t>
        </is>
      </c>
      <c r="M7" s="10" t="n">
        <v>5</v>
      </c>
      <c r="N7" s="9" t="inlineStr">
        <is>
          <t>PF-05, PF-08</t>
        </is>
      </c>
      <c r="O7" s="9" t="inlineStr">
        <is>
          <t>PF-04, PF-09</t>
        </is>
      </c>
      <c r="P7" s="9" t="inlineStr">
        <is>
          <t>W7</t>
        </is>
      </c>
      <c r="Q7" s="7" t="inlineStr">
        <is>
          <t>To Be Developed</t>
        </is>
      </c>
      <c r="R7" s="9" t="inlineStr">
        <is>
          <t>HAI PMO</t>
        </is>
      </c>
      <c r="S7" s="9" t="inlineStr">
        <is>
          <t>Per SOW Roadmap PF-06. Per-item exception only, not blanket. Freeze reinstated after incorporation. Audit trail mandatory.</t>
        </is>
      </c>
    </row>
    <row r="8" ht="55.5" customHeight="1">
      <c r="A8" s="2" t="inlineStr">
        <is>
          <t>PF-07</t>
        </is>
      </c>
      <c r="B8" s="3" t="inlineStr">
        <is>
          <t>Authority Submissions</t>
        </is>
      </c>
      <c r="C8" s="3" t="inlineStr">
        <is>
          <t>Procurement</t>
        </is>
      </c>
      <c r="D8" s="3" t="inlineStr">
        <is>
          <t>M6: Procurement</t>
        </is>
      </c>
      <c r="E8" s="3" t="inlineStr">
        <is>
          <t>P.1–P.3, G.6</t>
        </is>
      </c>
      <c r="F8" s="3" t="inlineStr">
        <is>
          <t>4 (Tender/RFP)</t>
        </is>
      </c>
      <c r="G8" s="3" t="inlineStr">
        <is>
          <t>HAI PM, HAI Procurement, HAI Contracts, Approval Authority</t>
        </is>
      </c>
      <c r="H8" s="3" t="inlineStr">
        <is>
          <t>RFP preparation, Bid compliance check, Comparison sheet, Recommendation, Value-based approval, Contract/Contract generation</t>
        </is>
      </c>
      <c r="I8" s="3" t="inlineStr">
        <is>
          <t>Budget Freeze must be passed (Gate 3) before procurement module unlocks</t>
        </is>
      </c>
      <c r="J8" s="4" t="inlineStr">
        <is>
          <t>Yes — Contract/PO push to ERP</t>
        </is>
      </c>
      <c r="K8" s="11" t="inlineStr">
        <is>
          <t>Ph2</t>
        </is>
      </c>
      <c r="L8" s="12" t="inlineStr">
        <is>
          <t>High</t>
        </is>
      </c>
      <c r="M8" s="4" t="n">
        <v>8</v>
      </c>
      <c r="N8" s="3" t="inlineStr">
        <is>
          <t>PF-05, PF-06, PF-08</t>
        </is>
      </c>
      <c r="O8" s="3" t="inlineStr">
        <is>
          <t>PF-03, PF-15</t>
        </is>
      </c>
      <c r="P8" s="3" t="inlineStr">
        <is>
          <t>W5</t>
        </is>
      </c>
      <c r="Q8" s="7" t="inlineStr">
        <is>
          <t>To Be Developed</t>
        </is>
      </c>
      <c r="R8" s="3" t="inlineStr">
        <is>
          <t>HAI PMO</t>
        </is>
      </c>
      <c r="S8" s="3" t="inlineStr">
        <is>
          <t>Per SOW Roadmap PF-04. Supplier database, weighted scoring, template-based Contract/contract generation, ERP PO creation.</t>
        </is>
      </c>
    </row>
    <row r="9" ht="55.5" customHeight="1">
      <c r="A9" s="8" t="inlineStr">
        <is>
          <t>PF-08</t>
        </is>
      </c>
      <c r="B9" s="9" t="inlineStr">
        <is>
          <t>IPC Processing</t>
        </is>
      </c>
      <c r="C9" s="9" t="inlineStr">
        <is>
          <t>Governance Control</t>
        </is>
      </c>
      <c r="D9" s="9" t="inlineStr">
        <is>
          <t>M4: Governance Gateways</t>
        </is>
      </c>
      <c r="E9" s="9" t="inlineStr">
        <is>
          <t>SG.1–SG.7, G.5, G.10</t>
        </is>
      </c>
      <c r="F9" s="9" t="inlineStr">
        <is>
          <t>0–8 (All stages)</t>
        </is>
      </c>
      <c r="G9" s="9" t="inlineStr">
        <is>
          <t>HAI PM, Gate Approver(s), System</t>
        </is>
      </c>
      <c r="H9" s="9" t="inlineStr">
        <is>
          <t>Exit checklist validation (all items), Gate approval routing, Freeze activation, Next-stage entry verification</t>
        </is>
      </c>
      <c r="I9" s="9" t="inlineStr">
        <is>
          <t>Activates applicable freeze rules per stage (Technical Design @ Stg2, Scope/Spatial Coordination @ Stg3, Regulatory @ Stg3.1, All @ Stg4)</t>
        </is>
      </c>
      <c r="J9" s="10" t="inlineStr">
        <is>
          <t>No direct; triggers ERP locks via PF-05/PF-06</t>
        </is>
      </c>
      <c r="K9" s="5" t="inlineStr">
        <is>
          <t>Ph1</t>
        </is>
      </c>
      <c r="L9" s="6" t="inlineStr">
        <is>
          <t>Critical</t>
        </is>
      </c>
      <c r="M9" s="10" t="n">
        <v>4</v>
      </c>
      <c r="N9" s="9" t="inlineStr">
        <is>
          <t>PF-01, PF-09, PF-11</t>
        </is>
      </c>
      <c r="O9" s="9" t="inlineStr">
        <is>
          <t>PF-05, PF-06, PF-07</t>
        </is>
      </c>
      <c r="P9" s="9" t="inlineStr">
        <is>
          <t>W6</t>
        </is>
      </c>
      <c r="Q9" s="7" t="inlineStr">
        <is>
          <t>To Be Developed</t>
        </is>
      </c>
      <c r="R9" s="9" t="inlineStr">
        <is>
          <t>HAI PMO</t>
        </is>
      </c>
      <c r="S9" s="9" t="inlineStr">
        <is>
          <t>Per SOW Roadmap PF-05. Master governance flow. 10 gates (0,1,2,3,3.1,4,5,6,7,8). RIBA/RICS/Qatar/GSAS checklist per gate.</t>
        </is>
      </c>
    </row>
    <row r="10" ht="55.5" customHeight="1">
      <c r="A10" s="2" t="inlineStr">
        <is>
          <t>PF-09</t>
        </is>
      </c>
      <c r="B10" s="3" t="inlineStr">
        <is>
          <t>Approval Engine</t>
        </is>
      </c>
      <c r="C10" s="3" t="inlineStr">
        <is>
          <t>Governance Control</t>
        </is>
      </c>
      <c r="D10" s="3" t="inlineStr">
        <is>
          <t>M5: Approval Matrix</t>
        </is>
      </c>
      <c r="E10" s="3" t="inlineStr">
        <is>
          <t>G.5–G.9</t>
        </is>
      </c>
      <c r="F10" s="3" t="inlineStr">
        <is>
          <t>0–8 (All stages)</t>
        </is>
      </c>
      <c r="G10" s="3" t="inlineStr">
        <is>
          <t>Requester, System (auto-route), Approver, Delegate</t>
        </is>
      </c>
      <c r="H10" s="3" t="inlineStr">
        <is>
          <t>Workflow type identification (7 types), Value threshold check, Delegation check, SLA timer start</t>
        </is>
      </c>
      <c r="I10" s="3" t="inlineStr">
        <is>
          <t>Freeze state affects which approval authority is required (higher for exceptions)</t>
        </is>
      </c>
      <c r="J10" s="4" t="inlineStr">
        <is>
          <t>No</t>
        </is>
      </c>
      <c r="K10" s="5" t="inlineStr">
        <is>
          <t>Ph1</t>
        </is>
      </c>
      <c r="L10" s="6" t="inlineStr">
        <is>
          <t>Critical</t>
        </is>
      </c>
      <c r="M10" s="4" t="n">
        <v>5</v>
      </c>
      <c r="N10" s="3" t="inlineStr">
        <is>
          <t>—</t>
        </is>
      </c>
      <c r="O10" s="3" t="inlineStr">
        <is>
          <t>PF-03, PF-04, PF-05, PF-07, PF-08</t>
        </is>
      </c>
      <c r="P10" s="3" t="inlineStr">
        <is>
          <t>W9</t>
        </is>
      </c>
      <c r="Q10" s="7" t="inlineStr">
        <is>
          <t>To Be Developed</t>
        </is>
      </c>
      <c r="R10" s="3" t="inlineStr">
        <is>
          <t>HAI PMO</t>
        </is>
      </c>
      <c r="S10" s="3" t="inlineStr">
        <is>
          <t>7 workflow types: Spatial Coordination, Comparison, Contract, Advance, IPC, Variation, Technical Design/Gateway. Single approver logic. SLA + escalation.</t>
        </is>
      </c>
    </row>
    <row r="11" ht="55.5" customHeight="1">
      <c r="A11" s="8" t="inlineStr">
        <is>
          <t>PF-10</t>
        </is>
      </c>
      <c r="B11" s="9" t="inlineStr">
        <is>
          <t>Quality Supervision</t>
        </is>
      </c>
      <c r="C11" s="9" t="inlineStr">
        <is>
          <t>Authority &amp; Compliance</t>
        </is>
      </c>
      <c r="D11" s="9" t="inlineStr">
        <is>
          <t>M8: Authority Coordination</t>
        </is>
      </c>
      <c r="E11" s="9" t="inlineStr">
        <is>
          <t>A.1, SG.4</t>
        </is>
      </c>
      <c r="F11" s="9" t="inlineStr">
        <is>
          <t>2–6 (Schematic→BCC)</t>
        </is>
      </c>
      <c r="G11" s="9" t="inlineStr">
        <is>
          <t>HAI Technical Design Mgr, HAI PM, System</t>
        </is>
      </c>
      <c r="H11" s="9" t="inlineStr">
        <is>
          <t>Package completeness check, Submission authorization, Response tracking, Condition clearance, Gate checklist auto-update</t>
        </is>
      </c>
      <c r="I11" s="9" t="inlineStr">
        <is>
          <t>Authority approval feeds stage gate exit criteria; Regulatory Freeze activated at Stage 3.1</t>
        </is>
      </c>
      <c r="J11" s="10" t="inlineStr">
        <is>
          <t>No</t>
        </is>
      </c>
      <c r="K11" s="11" t="inlineStr">
        <is>
          <t>Ph2</t>
        </is>
      </c>
      <c r="L11" s="12" t="inlineStr">
        <is>
          <t>High</t>
        </is>
      </c>
      <c r="M11" s="10" t="n">
        <v>6</v>
      </c>
      <c r="N11" s="9" t="inlineStr">
        <is>
          <t>PF-01, PF-08</t>
        </is>
      </c>
      <c r="O11" s="9" t="inlineStr">
        <is>
          <t>PF-08</t>
        </is>
      </c>
      <c r="P11" s="9" t="inlineStr">
        <is>
          <t>W8</t>
        </is>
      </c>
      <c r="Q11" s="7" t="inlineStr">
        <is>
          <t>To Be Developed</t>
        </is>
      </c>
      <c r="R11" s="9" t="inlineStr">
        <is>
          <t>HAI PMO</t>
        </is>
      </c>
      <c r="S11" s="9" t="inlineStr">
        <is>
          <t>Per SOW Roadmap PF-07. QCDD/Kahramaa/Ashghal/Civil Defense. Status board, SLA tracking, condition action items.</t>
        </is>
      </c>
    </row>
    <row r="12" ht="55.5" customHeight="1">
      <c r="A12" s="2" t="inlineStr">
        <is>
          <t>PF-11</t>
        </is>
      </c>
      <c r="B12" s="3" t="inlineStr">
        <is>
          <t>Spatial Coordination Cost</t>
        </is>
      </c>
      <c r="C12" s="3" t="inlineStr">
        <is>
          <t>Authority &amp; Compliance</t>
        </is>
      </c>
      <c r="D12" s="3" t="inlineStr">
        <is>
          <t>M4: Governance, M8: Authority</t>
        </is>
      </c>
      <c r="E12" s="3" t="inlineStr">
        <is>
          <t>SG.5</t>
        </is>
      </c>
      <c r="F12" s="3" t="inlineStr">
        <is>
          <t>0–7 (Registration→Operations)</t>
        </is>
      </c>
      <c r="G12" s="3" t="inlineStr">
        <is>
          <t>HAI Technical Design Mgr, HAI PM, GSAS Trust (external)</t>
        </is>
      </c>
      <c r="H12" s="3" t="inlineStr">
        <is>
          <t>Registration, Technical Design Assessment (Part 1 &amp; 2), LoC application, Construction audit, Final certificate</t>
        </is>
      </c>
      <c r="I12" s="3" t="inlineStr">
        <is>
          <t>GSAS milestones are stage gate exit criteria; no freeze interaction</t>
        </is>
      </c>
      <c r="J12" s="4" t="inlineStr">
        <is>
          <t>No</t>
        </is>
      </c>
      <c r="K12" s="11" t="inlineStr">
        <is>
          <t>Ph2</t>
        </is>
      </c>
      <c r="L12" s="12" t="inlineStr">
        <is>
          <t>High</t>
        </is>
      </c>
      <c r="M12" s="4" t="n">
        <v>5</v>
      </c>
      <c r="N12" s="3" t="inlineStr">
        <is>
          <t>PF-08, PF-10</t>
        </is>
      </c>
      <c r="O12" s="3" t="inlineStr">
        <is>
          <t>PF-08</t>
        </is>
      </c>
      <c r="P12" s="3" t="inlineStr">
        <is>
          <t>W6, W8</t>
        </is>
      </c>
      <c r="Q12" s="7" t="inlineStr">
        <is>
          <t>To Be Developed</t>
        </is>
      </c>
      <c r="R12" s="3" t="inlineStr">
        <is>
          <t>HAI PMO</t>
        </is>
      </c>
      <c r="S12" s="3" t="inlineStr">
        <is>
          <t>Tracks GSAS lifecycle: registration→concept→design→LoC→construction audit→final cert→operations. Feeds gate checklists.</t>
        </is>
      </c>
    </row>
    <row r="13" ht="55.5" customHeight="1">
      <c r="A13" s="8" t="inlineStr">
        <is>
          <t>PF-12</t>
        </is>
      </c>
      <c r="B13" s="9" t="inlineStr">
        <is>
          <t>Risk Register</t>
        </is>
      </c>
      <c r="C13" s="9" t="inlineStr">
        <is>
          <t>Quality &amp; Site</t>
        </is>
      </c>
      <c r="D13" s="9" t="inlineStr">
        <is>
          <t>M7: Quality &amp; Site</t>
        </is>
      </c>
      <c r="E13" s="9" t="inlineStr">
        <is>
          <t>Q.1</t>
        </is>
      </c>
      <c r="F13" s="9" t="inlineStr">
        <is>
          <t>5 (Construction)</t>
        </is>
      </c>
      <c r="G13" s="9" t="inlineStr">
        <is>
          <t>Contractor, HAI QA/QC Engineer, HAI PM</t>
        </is>
      </c>
      <c r="H13" s="9" t="inlineStr">
        <is>
          <t>IR submission, Inspection pass/fail, NCR issuance (if fail), Corrective action, Re-inspection, Closure</t>
        </is>
      </c>
      <c r="I13" s="9" t="inlineStr">
        <is>
          <t>None direct; NCR closure feeds stage gate exit criteria</t>
        </is>
      </c>
      <c r="J13" s="10" t="inlineStr">
        <is>
          <t>No</t>
        </is>
      </c>
      <c r="K13" s="11" t="inlineStr">
        <is>
          <t>Ph2</t>
        </is>
      </c>
      <c r="L13" s="6" t="inlineStr">
        <is>
          <t>Critical</t>
        </is>
      </c>
      <c r="M13" s="10" t="n">
        <v>7</v>
      </c>
      <c r="N13" s="9" t="inlineStr">
        <is>
          <t>PF-01</t>
        </is>
      </c>
      <c r="O13" s="9" t="inlineStr">
        <is>
          <t>PF-08, PF-14</t>
        </is>
      </c>
      <c r="P13" s="9" t="inlineStr">
        <is>
          <t>W11</t>
        </is>
      </c>
      <c r="Q13" s="7" t="inlineStr">
        <is>
          <t>To Be Developed</t>
        </is>
      </c>
      <c r="R13" s="9" t="inlineStr">
        <is>
          <t>HAI PMO</t>
        </is>
      </c>
      <c r="S13" s="9" t="inlineStr">
        <is>
          <t>Mandatory fields, linked to project/trade/location. NCR tracks: root cause, corrective action, re-inspection, close-out.</t>
        </is>
      </c>
    </row>
    <row r="14" ht="55.5" customHeight="1">
      <c r="A14" s="2" t="inlineStr">
        <is>
          <t>PF-13</t>
        </is>
      </c>
      <c r="B14" s="3" t="inlineStr">
        <is>
          <t>Contractor Performance</t>
        </is>
      </c>
      <c r="C14" s="3" t="inlineStr">
        <is>
          <t>Quality &amp; Site</t>
        </is>
      </c>
      <c r="D14" s="3" t="inlineStr">
        <is>
          <t>M7: Quality &amp; Site</t>
        </is>
      </c>
      <c r="E14" s="3" t="inlineStr">
        <is>
          <t>Q.2, Q.3</t>
        </is>
      </c>
      <c r="F14" s="3" t="inlineStr">
        <is>
          <t>5 (Construction)</t>
        </is>
      </c>
      <c r="G14" s="3" t="inlineStr">
        <is>
          <t>Contractor Site Eng, HAI Site PM</t>
        </is>
      </c>
      <c r="H14" s="3" t="inlineStr">
        <is>
          <t>Template submission, Photo upload, Progress % entry, S-curve auto-update</t>
        </is>
      </c>
      <c r="I14" s="3" t="inlineStr">
        <is>
          <t>None</t>
        </is>
      </c>
      <c r="J14" s="4" t="inlineStr">
        <is>
          <t>No</t>
        </is>
      </c>
      <c r="K14" s="11" t="inlineStr">
        <is>
          <t>Ph2</t>
        </is>
      </c>
      <c r="L14" s="12" t="inlineStr">
        <is>
          <t>High</t>
        </is>
      </c>
      <c r="M14" s="4" t="n">
        <v>4</v>
      </c>
      <c r="N14" s="3" t="inlineStr">
        <is>
          <t>—</t>
        </is>
      </c>
      <c r="O14" s="3" t="inlineStr">
        <is>
          <t>PF-08, PF-17</t>
        </is>
      </c>
      <c r="P14" s="3" t="inlineStr">
        <is>
          <t>W11</t>
        </is>
      </c>
      <c r="Q14" s="7" t="inlineStr">
        <is>
          <t>To Be Developed</t>
        </is>
      </c>
      <c r="R14" s="3" t="inlineStr">
        <is>
          <t>HAI PMO</t>
        </is>
      </c>
      <c r="S14" s="3" t="inlineStr">
        <is>
          <t>Templates for daily/weekly. Progress photos mandatory. S-curve: planned vs actual % complete, earned value.</t>
        </is>
      </c>
    </row>
    <row r="15" ht="55.5" customHeight="1">
      <c r="A15" s="8" t="inlineStr">
        <is>
          <t>PF-14</t>
        </is>
      </c>
      <c r="B15" s="9" t="inlineStr">
        <is>
          <t>Lessons Learned</t>
        </is>
      </c>
      <c r="C15" s="9" t="inlineStr">
        <is>
          <t>Handover &amp; DLP</t>
        </is>
      </c>
      <c r="D15" s="9" t="inlineStr">
        <is>
          <t>M9: Handover &amp; DLP</t>
        </is>
      </c>
      <c r="E15" s="9" t="inlineStr">
        <is>
          <t>H.1</t>
        </is>
      </c>
      <c r="F15" s="9" t="inlineStr">
        <is>
          <t>5–6 (Construction→BCC)</t>
        </is>
      </c>
      <c r="G15" s="9" t="inlineStr">
        <is>
          <t>Contractor, HAI PM, HAI Technical Design Mgr, FM Team</t>
        </is>
      </c>
      <c r="H15" s="9" t="inlineStr">
        <is>
          <t>Package completeness check (as-builts, O&amp;M, warranties, test reports), FM review, BCC prerequisite check</t>
        </is>
      </c>
      <c r="I15" s="9" t="inlineStr">
        <is>
          <t>Contract close-out freeze: no further variations unless defect-related</t>
        </is>
      </c>
      <c r="J15" s="10" t="inlineStr">
        <is>
          <t>No</t>
        </is>
      </c>
      <c r="K15" s="13" t="inlineStr">
        <is>
          <t>Ph3</t>
        </is>
      </c>
      <c r="L15" s="12" t="inlineStr">
        <is>
          <t>High</t>
        </is>
      </c>
      <c r="M15" s="10" t="n">
        <v>6</v>
      </c>
      <c r="N15" s="9" t="inlineStr">
        <is>
          <t>PF-01, PF-12</t>
        </is>
      </c>
      <c r="O15" s="9" t="inlineStr">
        <is>
          <t>PF-08, PF-16</t>
        </is>
      </c>
      <c r="P15" s="9" t="inlineStr">
        <is>
          <t>W12</t>
        </is>
      </c>
      <c r="Q15" s="7" t="inlineStr">
        <is>
          <t>To Be Developed</t>
        </is>
      </c>
      <c r="R15" s="9" t="inlineStr">
        <is>
          <t>HAI PMO</t>
        </is>
      </c>
      <c r="S15" s="9" t="inlineStr">
        <is>
          <t>Digital Handover Package in SkyStruct. Links: as-builts, O&amp;M manuals, test reports, warranties, training records.</t>
        </is>
      </c>
    </row>
    <row r="16" ht="55.5" customHeight="1">
      <c r="A16" s="2" t="inlineStr">
        <is>
          <t>PF-15</t>
        </is>
      </c>
      <c r="B16" s="3" t="inlineStr">
        <is>
          <t>Handover DLP</t>
        </is>
      </c>
      <c r="C16" s="3" t="inlineStr">
        <is>
          <t>Handover &amp; DLP</t>
        </is>
      </c>
      <c r="D16" s="3" t="inlineStr">
        <is>
          <t>M9: Handover &amp; DLP</t>
        </is>
      </c>
      <c r="E16" s="3" t="inlineStr">
        <is>
          <t>H.2</t>
        </is>
      </c>
      <c r="F16" s="3" t="inlineStr">
        <is>
          <t>7 (DLP &amp; In Use)</t>
        </is>
      </c>
      <c r="G16" s="3" t="inlineStr">
        <is>
          <t>FM Team, HAI PM, Contractor</t>
        </is>
      </c>
      <c r="H16" s="3" t="inlineStr">
        <is>
          <t>Defect identification, Assignment to contractor, Rectification, Re-inspection, Closure, Retention release trigger</t>
        </is>
      </c>
      <c r="I16" s="3" t="inlineStr">
        <is>
          <t>None; operational phase</t>
        </is>
      </c>
      <c r="J16" s="4" t="inlineStr">
        <is>
          <t>Yes — retention release to ERP</t>
        </is>
      </c>
      <c r="K16" s="13" t="inlineStr">
        <is>
          <t>Ph3</t>
        </is>
      </c>
      <c r="L16" s="12" t="inlineStr">
        <is>
          <t>High</t>
        </is>
      </c>
      <c r="M16" s="4" t="n">
        <v>6</v>
      </c>
      <c r="N16" s="3" t="inlineStr">
        <is>
          <t>PF-14, PF-08</t>
        </is>
      </c>
      <c r="O16" s="3" t="inlineStr">
        <is>
          <t>PF-17</t>
        </is>
      </c>
      <c r="P16" s="3" t="inlineStr">
        <is>
          <t>W12</t>
        </is>
      </c>
      <c r="Q16" s="7" t="inlineStr">
        <is>
          <t>To Be Developed</t>
        </is>
      </c>
      <c r="R16" s="3" t="inlineStr">
        <is>
          <t>HAI PMO</t>
        </is>
      </c>
      <c r="S16" s="3" t="inlineStr">
        <is>
          <t>Defect: create→assign→rectify→re-inspect→close. Warranty expiry alerts. Links to retention release and Final Certificate.</t>
        </is>
      </c>
    </row>
    <row r="17" ht="55.5" customHeight="1">
      <c r="A17" s="8" t="inlineStr">
        <is>
          <t>PF-16</t>
        </is>
      </c>
      <c r="B17" s="9" t="inlineStr">
        <is>
          <t>Meeting Action Tracking</t>
        </is>
      </c>
      <c r="C17" s="9" t="inlineStr">
        <is>
          <t>Handover &amp; DLP</t>
        </is>
      </c>
      <c r="D17" s="9" t="inlineStr">
        <is>
          <t>M9: Handover &amp; DLP</t>
        </is>
      </c>
      <c r="E17" s="9" t="inlineStr">
        <is>
          <t>H.3</t>
        </is>
      </c>
      <c r="F17" s="9" t="inlineStr">
        <is>
          <t>6–8 (BCC→End of Life)</t>
        </is>
      </c>
      <c r="G17" s="9" t="inlineStr">
        <is>
          <t>FM Team, HAI PM</t>
        </is>
      </c>
      <c r="H17" s="9" t="inlineStr">
        <is>
          <t>O&amp;M document registration, Warranty entry, Expiry alert trigger, Search/retrieval</t>
        </is>
      </c>
      <c r="I17" s="9" t="inlineStr">
        <is>
          <t>None; operational phase</t>
        </is>
      </c>
      <c r="J17" s="10" t="inlineStr">
        <is>
          <t>No</t>
        </is>
      </c>
      <c r="K17" s="13" t="inlineStr">
        <is>
          <t>Ph3</t>
        </is>
      </c>
      <c r="L17" s="12" t="inlineStr">
        <is>
          <t>High</t>
        </is>
      </c>
      <c r="M17" s="10" t="n">
        <v>4</v>
      </c>
      <c r="N17" s="9" t="inlineStr">
        <is>
          <t>PF-14</t>
        </is>
      </c>
      <c r="O17" s="9" t="inlineStr">
        <is>
          <t>PF-15</t>
        </is>
      </c>
      <c r="P17" s="9" t="inlineStr">
        <is>
          <t>W12</t>
        </is>
      </c>
      <c r="Q17" s="7" t="inlineStr">
        <is>
          <t>To Be Developed</t>
        </is>
      </c>
      <c r="R17" s="9" t="inlineStr">
        <is>
          <t>HAI PMO</t>
        </is>
      </c>
      <c r="S17" s="9" t="inlineStr">
        <is>
          <t>Searchable by system/equipment. Warranty tracking with alerts. Feeds into Stage 8 EOL decisions.</t>
        </is>
      </c>
    </row>
    <row r="18" ht="55.5" customHeight="1">
      <c r="A18" s="2" t="inlineStr">
        <is>
          <t>PF-17</t>
        </is>
      </c>
      <c r="B18" s="3" t="inlineStr">
        <is>
          <t>External Stakeholder Portal</t>
        </is>
      </c>
      <c r="C18" s="3" t="inlineStr">
        <is>
          <t>KPI &amp; Analytics</t>
        </is>
      </c>
      <c r="D18" s="3" t="inlineStr">
        <is>
          <t>M10: KPI Dashboards, M11: Bottleneck</t>
        </is>
      </c>
      <c r="E18" s="3" t="inlineStr">
        <is>
          <t>K.1–K.4</t>
        </is>
      </c>
      <c r="F18" s="3" t="inlineStr">
        <is>
          <t>0–8 (Continuous)</t>
        </is>
      </c>
      <c r="G18" s="3" t="inlineStr">
        <is>
          <t>System (auto), HAI PM, Department Heads</t>
        </is>
      </c>
      <c r="H18" s="3" t="inlineStr">
        <is>
          <t>Data aggregation trigger, KPI calculation, RAG status assignment, Bottleneck flag, Dashboard publish</t>
        </is>
      </c>
      <c r="I18" s="3" t="inlineStr">
        <is>
          <t>None; reporting layer</t>
        </is>
      </c>
      <c r="J18" s="4" t="inlineStr">
        <is>
          <t>Yes — pulls ERP actuals for cost KPIs</t>
        </is>
      </c>
      <c r="K18" s="11" t="inlineStr">
        <is>
          <t>Ph2</t>
        </is>
      </c>
      <c r="L18" s="6" t="inlineStr">
        <is>
          <t>Critical</t>
        </is>
      </c>
      <c r="M18" s="4" t="n">
        <v>5</v>
      </c>
      <c r="N18" s="3" t="inlineStr">
        <is>
          <t>PF-03, PF-04, PF-08, PF-09, PF-13</t>
        </is>
      </c>
      <c r="O18" s="3" t="inlineStr">
        <is>
          <t>—</t>
        </is>
      </c>
      <c r="P18" s="3" t="inlineStr">
        <is>
          <t>W11, W12</t>
        </is>
      </c>
      <c r="Q18" s="7" t="inlineStr">
        <is>
          <t>To Be Developed</t>
        </is>
      </c>
      <c r="R18" s="3" t="inlineStr">
        <is>
          <t>HAI PMO</t>
        </is>
      </c>
      <c r="S18" s="3" t="inlineStr">
        <is>
          <t>6 core KPIs: approval turnaround, stage compliance, cost deviation, variation trend, IPC time, submittal metrics. Bottleneck: stalled, overloaded, recurring.</t>
        </is>
      </c>
    </row>
    <row r="19" ht="55.5" customHeight="1">
      <c r="A19" s="8" t="inlineStr">
        <is>
          <t>PF-18</t>
        </is>
      </c>
      <c r="B19" s="9" t="inlineStr">
        <is>
          <t>Report Generation Export</t>
        </is>
      </c>
      <c r="C19" s="9" t="inlineStr">
        <is>
          <t>KPI &amp; Analytics</t>
        </is>
      </c>
      <c r="D19" s="9" t="inlineStr">
        <is>
          <t>M12: Contractor Scoring</t>
        </is>
      </c>
      <c r="E19" s="9" t="inlineStr">
        <is>
          <t>K.5</t>
        </is>
      </c>
      <c r="F19" s="9" t="inlineStr">
        <is>
          <t>5–7 (Construction→DLP)</t>
        </is>
      </c>
      <c r="G19" s="9" t="inlineStr">
        <is>
          <t>System (auto), HAI PM, HAI Contracts</t>
        </is>
      </c>
      <c r="H19" s="9" t="inlineStr">
        <is>
          <t>Score calculation (timeliness, variation rate, defect rate, claims, response time), Scorecard publish, Supplier database update</t>
        </is>
      </c>
      <c r="I19" s="9" t="inlineStr">
        <is>
          <t>None; analytical</t>
        </is>
      </c>
      <c r="J19" s="10" t="inlineStr">
        <is>
          <t>No</t>
        </is>
      </c>
      <c r="K19" s="13" t="inlineStr">
        <is>
          <t>Ph3</t>
        </is>
      </c>
      <c r="L19" s="12" t="inlineStr">
        <is>
          <t>High</t>
        </is>
      </c>
      <c r="M19" s="10" t="n">
        <v>4</v>
      </c>
      <c r="N19" s="9" t="inlineStr">
        <is>
          <t>PF-03, PF-04, PF-12, PF-15</t>
        </is>
      </c>
      <c r="O19" s="9" t="inlineStr">
        <is>
          <t>PF-07</t>
        </is>
      </c>
      <c r="P19" s="9" t="inlineStr">
        <is>
          <t>W12</t>
        </is>
      </c>
      <c r="Q19" s="7" t="inlineStr">
        <is>
          <t>To Be Developed</t>
        </is>
      </c>
      <c r="R19" s="9" t="inlineStr">
        <is>
          <t>HAI PMO</t>
        </is>
      </c>
      <c r="S19" s="9" t="inlineStr">
        <is>
          <t>5 scoring dimensions. Auto-calculated from transactional data. Feeds supplier database for future procurement.</t>
        </is>
      </c>
    </row>
    <row r="20" ht="55.5" customHeight="1">
      <c r="A20" s="2" t="inlineStr">
        <is>
          <t>PF-19</t>
        </is>
      </c>
      <c r="B20" s="3" t="inlineStr">
        <is>
          <t>User Role Management</t>
        </is>
      </c>
      <c r="C20" s="3" t="inlineStr">
        <is>
          <t>KPI &amp; Analytics</t>
        </is>
      </c>
      <c r="D20" s="3" t="inlineStr">
        <is>
          <t>M13: Lessons Learned</t>
        </is>
      </c>
      <c r="E20" s="3" t="inlineStr">
        <is>
          <t>K.6</t>
        </is>
      </c>
      <c r="F20" s="3" t="inlineStr">
        <is>
          <t>0–8 (All stages)</t>
        </is>
      </c>
      <c r="G20" s="3" t="inlineStr">
        <is>
          <t>HAI PM, Department Heads, System</t>
        </is>
      </c>
      <c r="H20" s="3" t="inlineStr">
        <is>
          <t>Lesson identification, Root cause categorization, Stage linkage, Preventive rule proposal, Rule activation (if converted)</t>
        </is>
      </c>
      <c r="I20" s="3" t="inlineStr">
        <is>
          <t>Converted rules may become new gate checklist items or approval conditions</t>
        </is>
      </c>
      <c r="J20" s="4" t="inlineStr">
        <is>
          <t>No</t>
        </is>
      </c>
      <c r="K20" s="11" t="inlineStr">
        <is>
          <t>Ph2</t>
        </is>
      </c>
      <c r="L20" s="12" t="inlineStr">
        <is>
          <t>High</t>
        </is>
      </c>
      <c r="M20" s="4" t="n">
        <v>5</v>
      </c>
      <c r="N20" s="3" t="inlineStr">
        <is>
          <t>PF-08, PF-12, PF-17</t>
        </is>
      </c>
      <c r="O20" s="3" t="inlineStr">
        <is>
          <t>PF-08, PF-09</t>
        </is>
      </c>
      <c r="P20" s="3" t="inlineStr">
        <is>
          <t>W11</t>
        </is>
      </c>
      <c r="Q20" s="7" t="inlineStr">
        <is>
          <t>To Be Developed</t>
        </is>
      </c>
      <c r="R20" s="3" t="inlineStr">
        <is>
          <t>HAI PMO</t>
        </is>
      </c>
      <c r="S20" s="3" t="inlineStr">
        <is>
          <t>Categorized by root cause. Linked to stage. Convertible to preventive workflow rules. Feeds future project gate checklists.</t>
        </is>
      </c>
    </row>
    <row r="21" ht="55.5" customHeight="1">
      <c r="A21" s="8" t="inlineStr">
        <is>
          <t>PF-20</t>
        </is>
      </c>
      <c r="B21" s="9" t="inlineStr">
        <is>
          <t>ERP Integration</t>
        </is>
      </c>
      <c r="C21" s="9" t="inlineStr">
        <is>
          <t>Integration &amp; Access</t>
        </is>
      </c>
      <c r="D21" s="9" t="inlineStr">
        <is>
          <t>M15: ERP Integration</t>
        </is>
      </c>
      <c r="E21" s="9" t="inlineStr">
        <is>
          <t>E.1, E.2</t>
        </is>
      </c>
      <c r="F21" s="9" t="inlineStr">
        <is>
          <t>0–8 (Continuous)</t>
        </is>
      </c>
      <c r="G21" s="9" t="inlineStr">
        <is>
          <t>System (auto), HAI IT, ERP Team</t>
        </is>
      </c>
      <c r="H21" s="9" t="inlineStr">
        <is>
          <t>Sync trigger (event-based), Data validation, Conflict resolution, Failure fallback (manual + IT alert)</t>
        </is>
      </c>
      <c r="I21" s="9" t="inlineStr">
        <is>
          <t>Budget Freeze enforced in both systems simultaneously</t>
        </is>
      </c>
      <c r="J21" s="10" t="inlineStr">
        <is>
          <t>Yes — this IS the ERP flow</t>
        </is>
      </c>
      <c r="K21" s="13" t="inlineStr">
        <is>
          <t>Ph3</t>
        </is>
      </c>
      <c r="L21" s="6" t="inlineStr">
        <is>
          <t>Critical</t>
        </is>
      </c>
      <c r="M21" s="10" t="n">
        <v>6</v>
      </c>
      <c r="N21" s="9" t="inlineStr">
        <is>
          <t>PF-03, PF-04, PF-05, PF-07</t>
        </is>
      </c>
      <c r="O21" s="9" t="inlineStr">
        <is>
          <t>—</t>
        </is>
      </c>
      <c r="P21" s="9" t="inlineStr">
        <is>
          <t>W13</t>
        </is>
      </c>
      <c r="Q21" s="7" t="inlineStr">
        <is>
          <t>To Be Developed</t>
        </is>
      </c>
      <c r="R21" s="9" t="inlineStr">
        <is>
          <t>HAI PMO</t>
        </is>
      </c>
      <c r="S21" s="9" t="inlineStr">
        <is>
          <t>Rule: SkyStruct governs decision; ERP executes transaction. Covers: Spatial Coordination, PO, IPC, Actuals, HR. Bi-directional validation.</t>
        </is>
      </c>
    </row>
    <row r="22" ht="55.5" customHeight="1">
      <c r="A22" s="2" t="inlineStr">
        <is>
          <t>PF-21</t>
        </is>
      </c>
      <c r="B22" s="3" t="inlineStr">
        <is>
          <t>Dashboard Analytics</t>
        </is>
      </c>
      <c r="C22" s="3" t="inlineStr">
        <is>
          <t>Integration &amp; Access</t>
        </is>
      </c>
      <c r="D22" s="3" t="inlineStr">
        <is>
          <t>M16: External Access</t>
        </is>
      </c>
      <c r="E22" s="3" t="inlineStr">
        <is>
          <t>E.3</t>
        </is>
      </c>
      <c r="F22" s="3" t="inlineStr">
        <is>
          <t>0–8 (As needed)</t>
        </is>
      </c>
      <c r="G22" s="3" t="inlineStr">
        <is>
          <t>HAI PM, HAI IT/Admin, System</t>
        </is>
      </c>
      <c r="H22" s="3" t="inlineStr">
        <is>
          <t>Access request, Role assignment (contractor/consultant/authority), Project scoping, Permission grant, Deactivation on project close</t>
        </is>
      </c>
      <c r="I22" s="3" t="inlineStr">
        <is>
          <t>None</t>
        </is>
      </c>
      <c r="J22" s="4" t="inlineStr">
        <is>
          <t>No</t>
        </is>
      </c>
      <c r="K22" s="11" t="inlineStr">
        <is>
          <t>Ph2</t>
        </is>
      </c>
      <c r="L22" s="12" t="inlineStr">
        <is>
          <t>High</t>
        </is>
      </c>
      <c r="M22" s="4" t="n">
        <v>5</v>
      </c>
      <c r="N22" s="3" t="inlineStr">
        <is>
          <t>—</t>
        </is>
      </c>
      <c r="O22" s="3" t="inlineStr">
        <is>
          <t>PF-01, PF-03, PF-07</t>
        </is>
      </c>
      <c r="P22" s="3" t="inlineStr">
        <is>
          <t>W11</t>
        </is>
      </c>
      <c r="Q22" s="7" t="inlineStr">
        <is>
          <t>To Be Developed</t>
        </is>
      </c>
      <c r="R22" s="3" t="inlineStr">
        <is>
          <t>HAI PMO</t>
        </is>
      </c>
      <c r="S22" s="3" t="inlineStr">
        <is>
          <t>Controlled per party/project. Contractor, consultant, authority access levels. Auto-deactivation on project closure.</t>
        </is>
      </c>
    </row>
    <row r="23" ht="55.5" customHeight="1">
      <c r="A23" s="8" t="inlineStr">
        <is>
          <t>PF-22</t>
        </is>
      </c>
      <c r="B23" s="9" t="inlineStr">
        <is>
          <t>Notification Escalation</t>
        </is>
      </c>
      <c r="C23" s="9" t="inlineStr">
        <is>
          <t>Predictive Analytics</t>
        </is>
      </c>
      <c r="D23" s="9" t="inlineStr">
        <is>
          <t>M14: Analytics</t>
        </is>
      </c>
      <c r="E23" s="9" t="inlineStr">
        <is>
          <t>K.7</t>
        </is>
      </c>
      <c r="F23" s="9" t="inlineStr">
        <is>
          <t>4–5 (Execution)</t>
        </is>
      </c>
      <c r="G23" s="9" t="inlineStr">
        <is>
          <t>System (ML/rule-based), HAI PM, HAI Finance</t>
        </is>
      </c>
      <c r="H23" s="9" t="inlineStr">
        <is>
          <t>Deviation pattern detection, Alert generation, Risk flag, Escalation recommendation</t>
        </is>
      </c>
      <c r="I23" s="9" t="inlineStr">
        <is>
          <t>Flags potential breach of frozen budget baseline</t>
        </is>
      </c>
      <c r="J23" s="10" t="inlineStr">
        <is>
          <t>Yes — pulls ERP actuals</t>
        </is>
      </c>
      <c r="K23" s="14" t="inlineStr">
        <is>
          <t>Ph4</t>
        </is>
      </c>
      <c r="L23" s="12" t="inlineStr">
        <is>
          <t>High</t>
        </is>
      </c>
      <c r="M23" s="10" t="n">
        <v>4</v>
      </c>
      <c r="N23" s="9" t="inlineStr">
        <is>
          <t>PF-17, PF-03, PF-04</t>
        </is>
      </c>
      <c r="O23" s="9" t="inlineStr">
        <is>
          <t>PF-06</t>
        </is>
      </c>
      <c r="P23" s="9" t="inlineStr">
        <is>
          <t>—</t>
        </is>
      </c>
      <c r="Q23" s="7" t="inlineStr">
        <is>
          <t>To Be Developed</t>
        </is>
      </c>
      <c r="R23" s="9" t="inlineStr">
        <is>
          <t>HAI PMO</t>
        </is>
      </c>
      <c r="S23" s="9" t="inlineStr">
        <is>
          <t>Rule-based in Ph2, ML in Ph4. Predictive alerts based on variation trends, IPC trajectory, contractor behavior.</t>
        </is>
      </c>
    </row>
    <row r="24" ht="55.5" customHeight="1">
      <c r="A24" s="2" t="inlineStr">
        <is>
          <t>PF-23</t>
        </is>
      </c>
      <c r="B24" s="3" t="inlineStr">
        <is>
          <t>Predictive Analytics</t>
        </is>
      </c>
      <c r="C24" s="3" t="inlineStr">
        <is>
          <t>Predictive Analytics</t>
        </is>
      </c>
      <c r="D24" s="3" t="inlineStr">
        <is>
          <t>M14: Analytics</t>
        </is>
      </c>
      <c r="E24" s="3" t="inlineStr">
        <is>
          <t>K.8</t>
        </is>
      </c>
      <c r="F24" s="3" t="inlineStr">
        <is>
          <t>0–8 (Continuous)</t>
        </is>
      </c>
      <c r="G24" s="3" t="inlineStr">
        <is>
          <t>System (ML/rule-based), HAI PM</t>
        </is>
      </c>
      <c r="H24" s="3" t="inlineStr">
        <is>
          <t>Anomaly detection (bypass, unsigned deliverable, SLA breach pattern), Flag, Investigation trigger</t>
        </is>
      </c>
      <c r="I24" s="3" t="inlineStr">
        <is>
          <t>Detects potential freeze violations or gate bypass attempts</t>
        </is>
      </c>
      <c r="J24" s="4" t="inlineStr">
        <is>
          <t>No</t>
        </is>
      </c>
      <c r="K24" s="14" t="inlineStr">
        <is>
          <t>Ph4</t>
        </is>
      </c>
      <c r="L24" s="12" t="inlineStr">
        <is>
          <t>High</t>
        </is>
      </c>
      <c r="M24" s="4" t="n">
        <v>4</v>
      </c>
      <c r="N24" s="3" t="inlineStr">
        <is>
          <t>PF-08, PF-09, PF-17</t>
        </is>
      </c>
      <c r="O24" s="3" t="inlineStr">
        <is>
          <t>PF-06</t>
        </is>
      </c>
      <c r="P24" s="3" t="inlineStr">
        <is>
          <t>—</t>
        </is>
      </c>
      <c r="Q24" s="7" t="inlineStr">
        <is>
          <t>To Be Developed</t>
        </is>
      </c>
      <c r="R24" s="3" t="inlineStr">
        <is>
          <t>HAI PMO</t>
        </is>
      </c>
      <c r="S24" s="3" t="inlineStr">
        <is>
          <t>Bypass flagging, unsigned deliverables, SLA breach patterns, approval timing anomalies. Phase 4 advanced analytics.</t>
        </is>
      </c>
    </row>
    <row r="25">
      <c r="A25" t="inlineStr">
        <is>
          <t>PF-24</t>
        </is>
      </c>
      <c r="B25" t="inlineStr">
        <is>
          <t>Post Go Live Support</t>
        </is>
      </c>
      <c r="C25" t="inlineStr">
        <is>
          <t>Mobilization</t>
        </is>
      </c>
      <c r="D25" t="inlineStr">
        <is>
          <t>MOD023</t>
        </is>
      </c>
      <c r="E25" t="inlineStr">
        <is>
          <t>Mobilization clause</t>
        </is>
      </c>
      <c r="F25" t="inlineStr">
        <is>
          <t>Stage 0-1</t>
        </is>
      </c>
      <c r="G25" t="inlineStr">
        <is>
          <t>Contractor, Consultant PM, Resident Engineer, Site Engineers, Safety Officer</t>
        </is>
      </c>
      <c r="H25" t="inlineStr">
        <is>
          <t>Approval of mobilization plan, site setup adequacy, temporary works approval</t>
        </is>
      </c>
      <c r="I25" t="inlineStr">
        <is>
          <t>Technical Design freeze before site establishment</t>
        </is>
      </c>
      <c r="J25" t="inlineStr">
        <is>
          <t>Procurement, Resource Mgmt</t>
        </is>
      </c>
      <c r="K25" t="inlineStr">
        <is>
          <t>Mobilization</t>
        </is>
      </c>
      <c r="L25" t="inlineStr">
        <is>
          <t>High</t>
        </is>
      </c>
      <c r="M25" t="inlineStr">
        <is>
          <t>12-15</t>
        </is>
      </c>
      <c r="N25" t="inlineStr">
        <is>
          <t>PF-01</t>
        </is>
      </c>
      <c r="O25" t="inlineStr">
        <is>
          <t>PF-02, PF-03</t>
        </is>
      </c>
      <c r="P25" t="inlineStr">
        <is>
          <t>Workshop Phase 1</t>
        </is>
      </c>
      <c r="Q25" t="inlineStr">
        <is>
          <t>Active</t>
        </is>
      </c>
      <c r="R25" t="inlineStr">
        <is>
          <t>Resident Engineer</t>
        </is>
      </c>
      <c r="S25" t="inlineStr">
        <is>
          <t>Starts with contract execution; ends with substantial mobilization completion</t>
        </is>
      </c>
    </row>
    <row r="26">
      <c r="A26" t="inlineStr">
        <is>
          <t>PF-25</t>
        </is>
      </c>
      <c r="B26" t="inlineStr">
        <is>
          <t>Consultant Mobilisation</t>
        </is>
      </c>
      <c r="C26" t="inlineStr">
        <is>
          <t>Testing &amp; Compliance</t>
        </is>
      </c>
      <c r="D26" t="inlineStr">
        <is>
          <t>MOD024</t>
        </is>
      </c>
      <c r="E26" t="inlineStr">
        <is>
          <t>T&amp;C and GSAS clause</t>
        </is>
      </c>
      <c r="F26" t="inlineStr">
        <is>
          <t>Stage 6-7</t>
        </is>
      </c>
      <c r="G26" t="inlineStr">
        <is>
          <t>QA/QC Manager, Authority Representatives, Technical Design Manager, Contractor, Engineer (HAI)</t>
        </is>
      </c>
      <c r="H26" t="inlineStr">
        <is>
          <t>System acceptance, GSAS requirements compliance, authority inspection results, certificate issuance</t>
        </is>
      </c>
      <c r="I26" t="inlineStr">
        <is>
          <t>Technical Design freeze before T&amp;C phase</t>
        </is>
      </c>
      <c r="J26" t="inlineStr">
        <is>
          <t>Quality Management, Compliance</t>
        </is>
      </c>
      <c r="K26" t="inlineStr">
        <is>
          <t>Completion</t>
        </is>
      </c>
      <c r="L26" t="inlineStr">
        <is>
          <t>Critical</t>
        </is>
      </c>
      <c r="M26" t="inlineStr">
        <is>
          <t>18-22</t>
        </is>
      </c>
      <c r="N26" t="inlineStr">
        <is>
          <t>PF-20, PF-21</t>
        </is>
      </c>
      <c r="O26" t="inlineStr">
        <is>
          <t>PF-26</t>
        </is>
      </c>
      <c r="P26" t="inlineStr">
        <is>
          <t>Workshop Phase 3</t>
        </is>
      </c>
      <c r="Q26" t="inlineStr">
        <is>
          <t>Active</t>
        </is>
      </c>
      <c r="R26" t="inlineStr">
        <is>
          <t>QA/QC Manager</t>
        </is>
      </c>
      <c r="S26" t="inlineStr">
        <is>
          <t>Starts 4 weeks before practical completion; ends with all certificates and GSAS certification</t>
        </is>
      </c>
    </row>
    <row r="27">
      <c r="A27" t="inlineStr">
        <is>
          <t>PF-26</t>
        </is>
      </c>
      <c r="B27" t="inlineStr">
        <is>
          <t>Final Account Settlement</t>
        </is>
      </c>
      <c r="C27" t="inlineStr">
        <is>
          <t>Handover</t>
        </is>
      </c>
      <c r="D27" t="inlineStr">
        <is>
          <t>MOD025</t>
        </is>
      </c>
      <c r="E27" t="inlineStr">
        <is>
          <t>Post-occupancy clause</t>
        </is>
      </c>
      <c r="F27" t="inlineStr">
        <is>
          <t>Stage 7-8</t>
        </is>
      </c>
      <c r="G27" t="inlineStr">
        <is>
          <t>Facility Manager, Resident Engineer, QA/QC Manager, Contractor, End-Users</t>
        </is>
      </c>
      <c r="H27" t="inlineStr">
        <is>
          <t>Complaint categorization, warranty claim acceptance, snagging resolution, FM handover approval</t>
        </is>
      </c>
      <c r="I27" t="inlineStr">
        <is>
          <t>DLP period baseline setting</t>
        </is>
      </c>
      <c r="J27" t="inlineStr">
        <is>
          <t>Facility Mgmt, Asset Mgmt</t>
        </is>
      </c>
      <c r="K27" t="inlineStr">
        <is>
          <t>DLP &amp; Handover</t>
        </is>
      </c>
      <c r="L27" t="inlineStr">
        <is>
          <t>High</t>
        </is>
      </c>
      <c r="M27" t="inlineStr">
        <is>
          <t>14-18</t>
        </is>
      </c>
      <c r="N27" t="inlineStr">
        <is>
          <t>PF-25</t>
        </is>
      </c>
      <c r="O27" t="inlineStr">
        <is>
          <t>PF-23</t>
        </is>
      </c>
      <c r="P27" t="inlineStr">
        <is>
          <t>Workshop Phase 3</t>
        </is>
      </c>
      <c r="Q27" t="inlineStr">
        <is>
          <t>Active</t>
        </is>
      </c>
      <c r="R27" t="inlineStr">
        <is>
          <t>Facility Manager</t>
        </is>
      </c>
      <c r="S27" t="inlineStr">
        <is>
          <t>Starts at practical completion; extends through [365 CD] DLP and post-occupancy period</t>
        </is>
      </c>
    </row>
    <row r="28">
      <c r="A28" t="inlineStr">
        <is>
          <t>PF-27</t>
        </is>
      </c>
      <c r="B28" t="inlineStr">
        <is>
          <t>Lessons Learned CI</t>
        </is>
      </c>
      <c r="C28" t="inlineStr">
        <is>
          <t>Payment &amp; Performance</t>
        </is>
      </c>
      <c r="D28" t="inlineStr">
        <is>
          <t>MOD026</t>
        </is>
      </c>
      <c r="E28" t="inlineStr">
        <is>
          <t>Consultant payment clause</t>
        </is>
      </c>
      <c r="F28" t="inlineStr">
        <is>
          <t>All stages</t>
        </is>
      </c>
      <c r="G28" t="inlineStr">
        <is>
          <t>Consultant PM, Consultant Staff, Finance, Consultant Approval Authority, QS/Cost Manager</t>
        </is>
      </c>
      <c r="H28" t="inlineStr">
        <is>
          <t>Timesheet approval, KPI score verification, deduction justification, payment release authorization</t>
        </is>
      </c>
      <c r="I28" t="inlineStr">
        <is>
          <t>Monthly financial close</t>
        </is>
      </c>
      <c r="J28" t="inlineStr">
        <is>
          <t>AP, Payroll, Performance Mgmt</t>
        </is>
      </c>
      <c r="K28" t="inlineStr">
        <is>
          <t>All phases</t>
        </is>
      </c>
      <c r="L28" t="inlineStr">
        <is>
          <t>High</t>
        </is>
      </c>
      <c r="M28" t="inlineStr">
        <is>
          <t>10-12</t>
        </is>
      </c>
      <c r="N28" t="inlineStr">
        <is>
          <t>PF-05</t>
        </is>
      </c>
      <c r="O28" t="inlineStr">
        <is>
          <t>PF-11</t>
        </is>
      </c>
      <c r="P28" t="inlineStr">
        <is>
          <t>Workshop Phase 2</t>
        </is>
      </c>
      <c r="Q28" t="inlineStr">
        <is>
          <t>Active</t>
        </is>
      </c>
      <c r="R28" t="inlineStr">
        <is>
          <t>Consultant PM</t>
        </is>
      </c>
      <c r="S28" t="inlineStr">
        <is>
          <t>Starts with each monthly billing cycle; ends with payment posting to GL</t>
        </is>
      </c>
    </row>
    <row r="29">
      <c r="A29" s="25" t="inlineStr">
        <is>
          <t>PF-28</t>
        </is>
      </c>
      <c r="B29" s="25" t="inlineStr">
        <is>
          <t>TOC Management</t>
        </is>
      </c>
      <c r="C29" s="25" t="inlineStr">
        <is>
          <t>Handover</t>
        </is>
      </c>
      <c r="D29" s="25" t="inlineStr">
        <is>
          <t>Handover Management</t>
        </is>
      </c>
      <c r="E29" s="25" t="inlineStr">
        <is>
          <t>6</t>
        </is>
      </c>
      <c r="F29" s="25" t="inlineStr">
        <is>
          <t>High</t>
        </is>
      </c>
      <c r="G29" s="25" t="inlineStr">
        <is>
          <t>Construction</t>
        </is>
      </c>
      <c r="H29" s="25" t="inlineStr">
        <is>
          <t>Manage the complete TOC process from pre-inspection through certificate issuance per FIDIC SC 10.1</t>
        </is>
      </c>
      <c r="I29" s="25" t="inlineStr">
        <is>
          <t>Engineer (HAI), Contractor, Employer, QA/QC Manager, Resident Engineer</t>
        </is>
      </c>
      <c r="J29" s="25" t="inlineStr">
        <is>
          <t>8</t>
        </is>
      </c>
      <c r="K29" s="25" t="inlineStr">
        <is>
          <t>Application completeness, Inspection readiness, Substantial completion determination, Certificate issuance</t>
        </is>
      </c>
      <c r="L29" s="25" t="inlineStr">
        <is>
          <t>TOC issuance time, Defect rate on inspection, Certificate cycle time</t>
        </is>
      </c>
    </row>
    <row r="30">
      <c r="A30" s="26" t="inlineStr">
        <is>
          <t>PF-29</t>
        </is>
      </c>
      <c r="B30" s="26" t="inlineStr">
        <is>
          <t>Final Payment Certificate</t>
        </is>
      </c>
      <c r="C30" s="26" t="inlineStr">
        <is>
          <t>Cost</t>
        </is>
      </c>
      <c r="D30" s="26" t="inlineStr">
        <is>
          <t>Cost Management</t>
        </is>
      </c>
      <c r="E30" s="26" t="inlineStr">
        <is>
          <t>7</t>
        </is>
      </c>
      <c r="F30" s="26" t="inlineStr">
        <is>
          <t>High</t>
        </is>
      </c>
      <c r="G30" s="26" t="inlineStr">
        <is>
          <t>Construction</t>
        </is>
      </c>
      <c r="H30" s="26" t="inlineStr">
        <is>
          <t>Manage the final account settlement process from draft final statement through final payment certificate per FIDIC SC 14.11-14.13</t>
        </is>
      </c>
      <c r="I30" s="26" t="inlineStr">
        <is>
          <t>Contractor, QS/Cost Manager, Engineer (HAI), Employer</t>
        </is>
      </c>
      <c r="J30" s="26" t="inlineStr">
        <is>
          <t>8</t>
        </is>
      </c>
      <c r="K30" s="26" t="inlineStr">
        <is>
          <t>Final account review, Contract value determination, Final payment certification</t>
        </is>
      </c>
      <c r="L30" s="26" t="inlineStr">
        <is>
          <t>Final account processing time, Payment cycle time, Claim resolution rate</t>
        </is>
      </c>
    </row>
    <row r="31">
      <c r="A31" s="25" t="inlineStr">
        <is>
          <t>PF-30</t>
        </is>
      </c>
      <c r="B31" s="25" t="inlineStr">
        <is>
          <t>Performance Certificate</t>
        </is>
      </c>
      <c r="C31" s="25" t="inlineStr">
        <is>
          <t>Handover</t>
        </is>
      </c>
      <c r="D31" s="25" t="inlineStr">
        <is>
          <t>Handover Management</t>
        </is>
      </c>
      <c r="E31" s="25" t="inlineStr">
        <is>
          <t>7-8</t>
        </is>
      </c>
      <c r="F31" s="25" t="inlineStr">
        <is>
          <t>High</t>
        </is>
      </c>
      <c r="G31" s="25" t="inlineStr">
        <is>
          <t>Construction</t>
        </is>
      </c>
      <c r="H31" s="25" t="inlineStr">
        <is>
          <t>Manage issuance of Performance Certificate upon completion of DLP obligations per FIDIC SC 11.9</t>
        </is>
      </c>
      <c r="I31" s="25" t="inlineStr">
        <is>
          <t>Engineer (HAI), Contractor, QA/QC Manager, Resident Engineer</t>
        </is>
      </c>
      <c r="J31" s="25" t="inlineStr">
        <is>
          <t>7</t>
        </is>
      </c>
      <c r="K31" s="25" t="inlineStr">
        <is>
          <t>DLP expiry verification, Defect completion status, Performance certificate issuance</t>
        </is>
      </c>
      <c r="L31" s="25" t="inlineStr">
        <is>
          <t>PC issuance time, DLP defect closure rate, Certificate cycle time</t>
        </is>
      </c>
    </row>
    <row r="32">
      <c r="A32" s="26" t="inlineStr">
        <is>
          <t>PF-31</t>
        </is>
      </c>
      <c r="B32" s="26" t="inlineStr">
        <is>
          <t>Snag List Resolution</t>
        </is>
      </c>
      <c r="C32" s="26" t="inlineStr">
        <is>
          <t>Quality</t>
        </is>
      </c>
      <c r="D32" s="26" t="inlineStr">
        <is>
          <t>Quality Management</t>
        </is>
      </c>
      <c r="E32" s="26" t="inlineStr">
        <is>
          <t>5-7</t>
        </is>
      </c>
      <c r="F32" s="26" t="inlineStr">
        <is>
          <t>Medium</t>
        </is>
      </c>
      <c r="G32" s="26" t="inlineStr">
        <is>
          <t>Both</t>
        </is>
      </c>
      <c r="H32" s="26" t="inlineStr">
        <is>
          <t>Systematic creation, tracking, and resolution of construction defects/snags throughout project lifecycle</t>
        </is>
      </c>
      <c r="I32" s="26" t="inlineStr">
        <is>
          <t>QA/QC Manager, Site Engineers, Contractor, Resident Engineer, Consultant PM</t>
        </is>
      </c>
      <c r="J32" s="26" t="inlineStr">
        <is>
          <t>8</t>
        </is>
      </c>
      <c r="K32" s="26" t="inlineStr">
        <is>
          <t>Snag severity classification, Rectification plan approval, Re-inspection acceptance</t>
        </is>
      </c>
      <c r="L32" s="26" t="inlineStr">
        <is>
          <t>Snag creation rate, Closure rate, Average resolution time, Cost of snags</t>
        </is>
      </c>
    </row>
    <row r="33">
      <c r="A33" t="inlineStr">
        <is>
          <t>PF-24</t>
        </is>
      </c>
      <c r="B33" t="inlineStr">
        <is>
          <t>Post Go Live Support</t>
        </is>
      </c>
      <c r="Q33" t="inlineStr">
        <is>
          <t>Issued</t>
        </is>
      </c>
    </row>
    <row r="34">
      <c r="A34" t="inlineStr">
        <is>
          <t>PF-25</t>
        </is>
      </c>
      <c r="B34" t="inlineStr">
        <is>
          <t>Consultant Mobilisation</t>
        </is>
      </c>
      <c r="Q34" t="inlineStr">
        <is>
          <t>Issued</t>
        </is>
      </c>
    </row>
    <row r="35">
      <c r="A35" t="inlineStr">
        <is>
          <t>PF-26</t>
        </is>
      </c>
      <c r="B35" t="inlineStr">
        <is>
          <t>Final Account Settlement</t>
        </is>
      </c>
      <c r="Q35" t="inlineStr">
        <is>
          <t>Issued</t>
        </is>
      </c>
    </row>
    <row r="36">
      <c r="A36" t="inlineStr">
        <is>
          <t>PF-27</t>
        </is>
      </c>
      <c r="B36" t="inlineStr">
        <is>
          <t>Lessons Learned CI</t>
        </is>
      </c>
      <c r="Q36" t="inlineStr">
        <is>
          <t>Issued</t>
        </is>
      </c>
    </row>
    <row r="37">
      <c r="A37" t="inlineStr">
        <is>
          <t>PF-28</t>
        </is>
      </c>
      <c r="B37" t="inlineStr">
        <is>
          <t>TOC Management</t>
        </is>
      </c>
      <c r="Q37" t="inlineStr">
        <is>
          <t>Issued</t>
        </is>
      </c>
    </row>
    <row r="38">
      <c r="A38" t="inlineStr">
        <is>
          <t>PF-29</t>
        </is>
      </c>
      <c r="B38" t="inlineStr">
        <is>
          <t>Final Payment Certificate</t>
        </is>
      </c>
      <c r="Q38" t="inlineStr">
        <is>
          <t>Issued</t>
        </is>
      </c>
    </row>
    <row r="39">
      <c r="A39" t="inlineStr">
        <is>
          <t>PF-30</t>
        </is>
      </c>
      <c r="B39" t="inlineStr">
        <is>
          <t>Performance Certificate</t>
        </is>
      </c>
      <c r="Q39" t="inlineStr">
        <is>
          <t>Issued</t>
        </is>
      </c>
    </row>
    <row r="40">
      <c r="A40" t="inlineStr">
        <is>
          <t>PF-31</t>
        </is>
      </c>
      <c r="B40" t="inlineStr">
        <is>
          <t>Snag List Resolution</t>
        </is>
      </c>
      <c r="Q40" t="inlineStr">
        <is>
          <t>Issued</t>
        </is>
      </c>
    </row>
  </sheetData>
  <autoFilter ref="A1:S1"/>
  <pageMargins left="0.75" right="0.75" top="1" bottom="1" header="0.511811023622047" footer="0.511811023622047"/>
  <pageSetup orientation="landscape" paperSize="8" scale="57" horizontalDpi="300" verticalDpi="300"/>
</worksheet>
</file>

<file path=xl/worksheets/sheet2.xml><?xml version="1.0" encoding="utf-8"?>
<worksheet xmlns="http://schemas.openxmlformats.org/spreadsheetml/2006/main">
  <sheetPr>
    <tabColor rgb="FF4A6FA5"/>
    <outlinePr summaryBelow="1" summaryRight="1"/>
    <pageSetUpPr/>
  </sheetPr>
  <dimension ref="A1:B43"/>
  <sheetViews>
    <sheetView zoomScaleNormal="100" workbookViewId="0">
      <selection activeCell="A5" sqref="A5:B8"/>
    </sheetView>
  </sheetViews>
  <sheetFormatPr baseColWidth="10" defaultColWidth="8.6640625" defaultRowHeight="15" customHeight="1"/>
  <cols>
    <col width="40" customWidth="1" min="1" max="1"/>
    <col width="18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 ht="21.75" customHeight="1">
      <c r="A2" s="16" t="inlineStr">
        <is>
          <t>Total Process Flows</t>
        </is>
      </c>
      <c r="B2" s="17">
        <f>COUNTA('Process Flow Register'!A2:A100)</f>
        <v/>
      </c>
    </row>
    <row r="3" ht="21.75" customHeight="1">
      <c r="A3" s="18" t="n"/>
      <c r="B3" s="17" t="n"/>
    </row>
    <row r="4" ht="21.75" customHeight="1">
      <c r="A4" s="19" t="inlineStr">
        <is>
          <t>── BY PHASE ──</t>
        </is>
      </c>
      <c r="B4" s="20" t="n"/>
    </row>
    <row r="5" ht="21.75" customHeight="1">
      <c r="A5" s="18" t="inlineStr">
        <is>
          <t>Phase 1 (Foundation)</t>
        </is>
      </c>
      <c r="B5" s="17">
        <f>COUNTIF('Process Flow Register'!K2:K100,"Ph1")</f>
        <v/>
      </c>
    </row>
    <row r="6" ht="21.75" customHeight="1">
      <c r="A6" s="18" t="inlineStr">
        <is>
          <t>Phase 2 (Pilot + Ops)</t>
        </is>
      </c>
      <c r="B6" s="17">
        <f>COUNTIF('Process Flow Register'!K2:K100,"Ph2")</f>
        <v/>
      </c>
    </row>
    <row r="7" ht="21.75" customHeight="1">
      <c r="A7" s="18" t="inlineStr">
        <is>
          <t>Phase 3 (ERP + Rollout)</t>
        </is>
      </c>
      <c r="B7" s="17">
        <f>COUNTIF('Process Flow Register'!K2:K100,"Ph3")</f>
        <v/>
      </c>
    </row>
    <row r="8" ht="21.75" customHeight="1">
      <c r="A8" s="18" t="inlineStr">
        <is>
          <t>Phase 4 (Analytics)</t>
        </is>
      </c>
      <c r="B8" s="17">
        <f>COUNTIF('Process Flow Register'!K2:K100,"Ph4")</f>
        <v/>
      </c>
    </row>
    <row r="9" ht="21.75" customHeight="1">
      <c r="A9" s="18" t="n"/>
      <c r="B9" s="17" t="n"/>
    </row>
    <row r="10" ht="21.75" customHeight="1">
      <c r="A10" s="19" t="inlineStr">
        <is>
          <t>── BY PRIORITY ──</t>
        </is>
      </c>
      <c r="B10" s="20" t="n"/>
    </row>
    <row r="11" ht="21.75" customHeight="1">
      <c r="A11" s="18" t="inlineStr">
        <is>
          <t>Critical</t>
        </is>
      </c>
      <c r="B11" s="17">
        <f>COUNTIF('Process Flow Register'!L2:L100,"Critical")</f>
        <v/>
      </c>
    </row>
    <row r="12" ht="21.75" customHeight="1">
      <c r="A12" s="18" t="inlineStr">
        <is>
          <t>High</t>
        </is>
      </c>
      <c r="B12" s="17">
        <f>COUNTIF('Process Flow Register'!L2:L100,"High")</f>
        <v/>
      </c>
    </row>
    <row r="13" ht="21.75" customHeight="1">
      <c r="A13" s="18" t="inlineStr">
        <is>
          <t>Medium</t>
        </is>
      </c>
      <c r="B13" s="17">
        <f>COUNTIF('Process Flow Register'!L2:L100,"Medium")</f>
        <v/>
      </c>
    </row>
    <row r="14" ht="21.75" customHeight="1">
      <c r="A14" s="18" t="n"/>
      <c r="B14" s="17" t="n"/>
    </row>
    <row r="15" ht="21.75" customHeight="1">
      <c r="A15" s="19" t="inlineStr">
        <is>
          <t>── BY CATEGORY ──</t>
        </is>
      </c>
      <c r="B15" s="20" t="n"/>
    </row>
    <row r="16" ht="21.75" customHeight="1">
      <c r="A16" s="18" t="inlineStr">
        <is>
          <t>Document Management</t>
        </is>
      </c>
      <c r="B16" s="17">
        <f>COUNTIF('Process Flow Register'!C2:C100,"Document Management")</f>
        <v/>
      </c>
    </row>
    <row r="17" ht="21.75" customHeight="1">
      <c r="A17" s="18" t="inlineStr">
        <is>
          <t>Financial Control</t>
        </is>
      </c>
      <c r="B17" s="17">
        <f>COUNTIF('Process Flow Register'!C2:C100,"Financial Control")</f>
        <v/>
      </c>
    </row>
    <row r="18" ht="21.75" customHeight="1">
      <c r="A18" s="18" t="inlineStr">
        <is>
          <t>Procurement</t>
        </is>
      </c>
      <c r="B18" s="17">
        <f>COUNTIF('Process Flow Register'!C2:C100,"Procurement")</f>
        <v/>
      </c>
    </row>
    <row r="19" ht="21.75" customHeight="1">
      <c r="A19" s="18" t="inlineStr">
        <is>
          <t>Governance Control</t>
        </is>
      </c>
      <c r="B19" s="17">
        <f>COUNTIF('Process Flow Register'!C2:C100,"Governance Control")</f>
        <v/>
      </c>
    </row>
    <row r="20" ht="21.75" customHeight="1">
      <c r="A20" s="18" t="inlineStr">
        <is>
          <t>Authority &amp; Compliance</t>
        </is>
      </c>
      <c r="B20" s="17">
        <f>COUNTIF('Process Flow Register'!C2:C100,"Authority &amp; Compliance")</f>
        <v/>
      </c>
    </row>
    <row r="21" ht="21.75" customHeight="1">
      <c r="A21" s="18" t="inlineStr">
        <is>
          <t>Quality &amp; Site</t>
        </is>
      </c>
      <c r="B21" s="17">
        <f>COUNTIF('Process Flow Register'!C2:C100,"Quality &amp; Site")</f>
        <v/>
      </c>
    </row>
    <row r="22" ht="21.75" customHeight="1">
      <c r="A22" s="18" t="inlineStr">
        <is>
          <t>Handover &amp; DLP</t>
        </is>
      </c>
      <c r="B22" s="17">
        <f>COUNTIF('Process Flow Register'!C2:C100,"Handover &amp; DLP")</f>
        <v/>
      </c>
    </row>
    <row r="23" ht="21.75" customHeight="1">
      <c r="A23" s="18" t="inlineStr">
        <is>
          <t>KPI &amp; Analytics</t>
        </is>
      </c>
      <c r="B23" s="17">
        <f>COUNTIF('Process Flow Register'!C2:C100,"KPI &amp; Analytics")</f>
        <v/>
      </c>
    </row>
    <row r="24" ht="21.75" customHeight="1">
      <c r="A24" s="18" t="inlineStr">
        <is>
          <t>Integration &amp; Access</t>
        </is>
      </c>
      <c r="B24" s="17">
        <f>COUNTIF('Process Flow Register'!C2:C100,"Integration &amp; Access")</f>
        <v/>
      </c>
    </row>
    <row r="25" ht="21.75" customHeight="1">
      <c r="A25" s="18" t="inlineStr">
        <is>
          <t>Predictive Analytics</t>
        </is>
      </c>
      <c r="B25" s="17">
        <f>COUNTIF('Process Flow Register'!C2:C100,"Predictive Analytics")</f>
        <v/>
      </c>
    </row>
    <row r="26" ht="21.75" customHeight="1">
      <c r="A26" s="18" t="n"/>
      <c r="B26" s="17" t="n"/>
    </row>
    <row r="27" ht="21.75" customHeight="1">
      <c r="A27" s="19" t="inlineStr">
        <is>
          <t>── ERP INTEGRATION ──</t>
        </is>
      </c>
      <c r="B27" s="20" t="n"/>
    </row>
    <row r="28" ht="21.75" customHeight="1">
      <c r="A28" s="18" t="inlineStr">
        <is>
          <t>Flows requiring ERP sync</t>
        </is>
      </c>
      <c r="B28" s="17">
        <f>COUNTIF('Process Flow Register'!J2:J100,"Yes*")</f>
        <v/>
      </c>
    </row>
    <row r="29" ht="21.75" customHeight="1">
      <c r="A29" s="18" t="inlineStr">
        <is>
          <t>Flows without ERP sync</t>
        </is>
      </c>
      <c r="B29" s="17">
        <f>COUNTIF('Process Flow Register'!J2:J100,"No")</f>
        <v/>
      </c>
    </row>
    <row r="30" ht="21.75" customHeight="1">
      <c r="A30" s="18" t="n"/>
      <c r="B30" s="17" t="n"/>
    </row>
    <row r="31" ht="21.75" customHeight="1">
      <c r="A31" s="19" t="inlineStr">
        <is>
          <t>── ESTIMATED TOTAL STEPS ──</t>
        </is>
      </c>
      <c r="B31" s="20" t="n"/>
    </row>
    <row r="32" ht="21.75" customHeight="1">
      <c r="A32" s="18" t="inlineStr">
        <is>
          <t>Total process steps (all flows)</t>
        </is>
      </c>
      <c r="B32" s="17">
        <f>SUM('Process Flow Register'!M2:M100)</f>
        <v/>
      </c>
    </row>
    <row r="33" ht="21.75" customHeight="1">
      <c r="A33" s="18" t="n"/>
      <c r="B33" s="17" t="n"/>
    </row>
    <row r="34" ht="21.75" customHeight="1">
      <c r="A34" s="19" t="inlineStr">
        <is>
          <t>── SOW TRACEABILITY ──</t>
        </is>
      </c>
      <c r="B34" s="20" t="n"/>
    </row>
    <row r="35" ht="21.75" customHeight="1">
      <c r="A35" s="18" t="inlineStr">
        <is>
          <t>Total SOW Requirements covered</t>
        </is>
      </c>
      <c r="B35" s="17" t="n">
        <v>60</v>
      </c>
    </row>
    <row r="36" ht="21.75" customHeight="1">
      <c r="A36" s="18" t="inlineStr">
        <is>
          <t>Stage Gate requirements (SG.1–SG.7)</t>
        </is>
      </c>
      <c r="B36" s="17" t="n">
        <v>7</v>
      </c>
    </row>
    <row r="37" ht="21.75" customHeight="1">
      <c r="A37" s="18" t="inlineStr">
        <is>
          <t>EDMS &amp; Workflow requirements (D.1–D.9)</t>
        </is>
      </c>
      <c r="B37" s="17" t="n">
        <v>9</v>
      </c>
    </row>
    <row r="38" ht="21.75" customHeight="1">
      <c r="A38" s="18" t="inlineStr">
        <is>
          <t>Governance &amp; Approval requirements (G.1–G.10)</t>
        </is>
      </c>
      <c r="B38" s="17" t="n">
        <v>10</v>
      </c>
    </row>
    <row r="39" ht="21.75" customHeight="1">
      <c r="A39" s="18" t="inlineStr">
        <is>
          <t>Correspondence/Procurement/Quality (C, P, Q)</t>
        </is>
      </c>
      <c r="B39" s="17" t="n">
        <v>8</v>
      </c>
    </row>
    <row r="40" ht="21.75" customHeight="1">
      <c r="A40" s="18" t="inlineStr">
        <is>
          <t>KPI &amp; Analytics (K.1–K.8)</t>
        </is>
      </c>
      <c r="B40" s="17" t="n">
        <v>8</v>
      </c>
    </row>
    <row r="41" ht="21.75" customHeight="1">
      <c r="A41" s="18" t="inlineStr">
        <is>
          <t>ERP &amp; Access (E.1–E.4)</t>
        </is>
      </c>
      <c r="B41" s="17" t="n">
        <v>4</v>
      </c>
    </row>
    <row r="42" ht="21.75" customHeight="1">
      <c r="A42" s="18" t="inlineStr">
        <is>
          <t>Handover &amp; DLP (H.1–H.3)</t>
        </is>
      </c>
      <c r="B42" s="17" t="n">
        <v>3</v>
      </c>
    </row>
    <row r="43" ht="21.75" customHeight="1">
      <c r="A43" s="18" t="inlineStr">
        <is>
          <t>Authority (A.1)</t>
        </is>
      </c>
      <c r="B43" s="17" t="n">
        <v>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4CAF50"/>
    <outlinePr summaryBelow="1" summaryRight="1"/>
    <pageSetUpPr/>
  </sheetPr>
  <dimension ref="A1:F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10" defaultColWidth="8.6640625" defaultRowHeight="15" customHeight="1"/>
  <cols>
    <col width="10" customWidth="1" min="1" max="1"/>
    <col width="50" customWidth="1" min="2" max="2"/>
    <col width="18" customWidth="1" min="3" max="3"/>
    <col width="20" customWidth="1" min="4" max="4"/>
    <col width="8" customWidth="1" min="5" max="5"/>
    <col width="16" customWidth="1" min="6" max="6"/>
  </cols>
  <sheetData>
    <row r="1" ht="30" customHeight="1">
      <c r="A1" s="21" t="inlineStr">
        <is>
          <t>SOW Ref</t>
        </is>
      </c>
      <c r="B1" s="21" t="inlineStr">
        <is>
          <t>Requirement Description</t>
        </is>
      </c>
      <c r="C1" s="21" t="inlineStr">
        <is>
          <t>Module</t>
        </is>
      </c>
      <c r="D1" s="21" t="inlineStr">
        <is>
          <t>Mapped PF-ID(s)</t>
        </is>
      </c>
      <c r="E1" s="21" t="inlineStr">
        <is>
          <t>Phase</t>
        </is>
      </c>
      <c r="F1" s="21" t="inlineStr">
        <is>
          <t>Coverage Status</t>
        </is>
      </c>
    </row>
    <row r="2" ht="24" customHeight="1">
      <c r="A2" s="4" t="inlineStr">
        <is>
          <t>SG.1</t>
        </is>
      </c>
      <c r="B2" s="3" t="inlineStr">
        <is>
          <t>RIBA-aligned entry/exit criteria per stage</t>
        </is>
      </c>
      <c r="C2" s="3" t="inlineStr">
        <is>
          <t>Gate</t>
        </is>
      </c>
      <c r="D2" s="3" t="inlineStr">
        <is>
          <t>PF-08</t>
        </is>
      </c>
      <c r="E2" s="4" t="inlineStr">
        <is>
          <t>Ph1</t>
        </is>
      </c>
      <c r="F2" s="22" t="inlineStr">
        <is>
          <t>Covered</t>
        </is>
      </c>
    </row>
    <row r="3" ht="24" customHeight="1">
      <c r="A3" s="10" t="inlineStr">
        <is>
          <t>SG.2</t>
        </is>
      </c>
      <c r="B3" s="9" t="inlineStr">
        <is>
          <t>Stage-gate progression blocking</t>
        </is>
      </c>
      <c r="C3" s="9" t="inlineStr">
        <is>
          <t>Gate</t>
        </is>
      </c>
      <c r="D3" s="9" t="inlineStr">
        <is>
          <t>PF-08</t>
        </is>
      </c>
      <c r="E3" s="10" t="inlineStr">
        <is>
          <t>Ph1</t>
        </is>
      </c>
      <c r="F3" s="22" t="inlineStr">
        <is>
          <t>Covered</t>
        </is>
      </c>
    </row>
    <row r="4" ht="24" customHeight="1">
      <c r="A4" s="4" t="inlineStr">
        <is>
          <t>SG.3</t>
        </is>
      </c>
      <c r="B4" s="3" t="inlineStr">
        <is>
          <t>RICS Cost Plan checkpoints per stage</t>
        </is>
      </c>
      <c r="C4" s="3" t="inlineStr">
        <is>
          <t>Gate</t>
        </is>
      </c>
      <c r="D4" s="3" t="inlineStr">
        <is>
          <t>PF-05, PF-08</t>
        </is>
      </c>
      <c r="E4" s="4" t="inlineStr">
        <is>
          <t>Ph1</t>
        </is>
      </c>
      <c r="F4" s="22" t="inlineStr">
        <is>
          <t>Covered</t>
        </is>
      </c>
    </row>
    <row r="5" ht="24" customHeight="1">
      <c r="A5" s="10" t="inlineStr">
        <is>
          <t>SG.4</t>
        </is>
      </c>
      <c r="B5" s="9" t="inlineStr">
        <is>
          <t>Qatar authority gate tracking</t>
        </is>
      </c>
      <c r="C5" s="9" t="inlineStr">
        <is>
          <t>Gate</t>
        </is>
      </c>
      <c r="D5" s="9" t="inlineStr">
        <is>
          <t>PF-10</t>
        </is>
      </c>
      <c r="E5" s="10" t="inlineStr">
        <is>
          <t>Ph1</t>
        </is>
      </c>
      <c r="F5" s="22" t="inlineStr">
        <is>
          <t>Covered</t>
        </is>
      </c>
    </row>
    <row r="6" ht="24" customHeight="1">
      <c r="A6" s="4" t="inlineStr">
        <is>
          <t>SG.5</t>
        </is>
      </c>
      <c r="B6" s="3" t="inlineStr">
        <is>
          <t>GSAS checkpoint integration</t>
        </is>
      </c>
      <c r="C6" s="3" t="inlineStr">
        <is>
          <t>Gate</t>
        </is>
      </c>
      <c r="D6" s="3" t="inlineStr">
        <is>
          <t>PF-11</t>
        </is>
      </c>
      <c r="E6" s="4" t="inlineStr">
        <is>
          <t>Ph2</t>
        </is>
      </c>
      <c r="F6" s="22" t="inlineStr">
        <is>
          <t>Covered</t>
        </is>
      </c>
    </row>
    <row r="7" ht="24" customHeight="1">
      <c r="A7" s="10" t="inlineStr">
        <is>
          <t>SG.6</t>
        </is>
      </c>
      <c r="B7" s="9" t="inlineStr">
        <is>
          <t>Freeze enforcement (Spatial Coordination/Technical Design/Scope/Regulatory)</t>
        </is>
      </c>
      <c r="C7" s="9" t="inlineStr">
        <is>
          <t>Gate</t>
        </is>
      </c>
      <c r="D7" s="9" t="inlineStr">
        <is>
          <t>PF-06, PF-08</t>
        </is>
      </c>
      <c r="E7" s="10" t="inlineStr">
        <is>
          <t>Ph1</t>
        </is>
      </c>
      <c r="F7" s="22" t="inlineStr">
        <is>
          <t>Covered</t>
        </is>
      </c>
    </row>
    <row r="8" ht="24" customHeight="1">
      <c r="A8" s="4" t="inlineStr">
        <is>
          <t>SG.7</t>
        </is>
      </c>
      <c r="B8" s="3" t="inlineStr">
        <is>
          <t>Gate exception workflow</t>
        </is>
      </c>
      <c r="C8" s="3" t="inlineStr">
        <is>
          <t>Gate</t>
        </is>
      </c>
      <c r="D8" s="3" t="inlineStr">
        <is>
          <t>PF-06</t>
        </is>
      </c>
      <c r="E8" s="4" t="inlineStr">
        <is>
          <t>Ph1</t>
        </is>
      </c>
      <c r="F8" s="22" t="inlineStr">
        <is>
          <t>Covered</t>
        </is>
      </c>
    </row>
    <row r="9" ht="24" customHeight="1">
      <c r="A9" s="10" t="inlineStr">
        <is>
          <t>D.1</t>
        </is>
      </c>
      <c r="B9" s="9" t="inlineStr">
        <is>
          <t>Structured repository by project/discipline/type</t>
        </is>
      </c>
      <c r="C9" s="9" t="inlineStr">
        <is>
          <t>EDMS</t>
        </is>
      </c>
      <c r="D9" s="9" t="inlineStr">
        <is>
          <t>PF-01</t>
        </is>
      </c>
      <c r="E9" s="10" t="inlineStr">
        <is>
          <t>Ph1</t>
        </is>
      </c>
      <c r="F9" s="22" t="inlineStr">
        <is>
          <t>Covered</t>
        </is>
      </c>
    </row>
    <row r="10" ht="24" customHeight="1">
      <c r="A10" s="4" t="inlineStr">
        <is>
          <t>D.2</t>
        </is>
      </c>
      <c r="B10" s="3" t="inlineStr">
        <is>
          <t>Automated version control</t>
        </is>
      </c>
      <c r="C10" s="3" t="inlineStr">
        <is>
          <t>EDMS</t>
        </is>
      </c>
      <c r="D10" s="3" t="inlineStr">
        <is>
          <t>PF-01</t>
        </is>
      </c>
      <c r="E10" s="4" t="inlineStr">
        <is>
          <t>Ph1</t>
        </is>
      </c>
      <c r="F10" s="22" t="inlineStr">
        <is>
          <t>Covered</t>
        </is>
      </c>
    </row>
    <row r="11" ht="24" customHeight="1">
      <c r="A11" s="10" t="inlineStr">
        <is>
          <t>D.3</t>
        </is>
      </c>
      <c r="B11" s="9" t="inlineStr">
        <is>
          <t>Automated document numbering (HAI convention)</t>
        </is>
      </c>
      <c r="C11" s="9" t="inlineStr">
        <is>
          <t>EDMS</t>
        </is>
      </c>
      <c r="D11" s="9" t="inlineStr">
        <is>
          <t>PF-01</t>
        </is>
      </c>
      <c r="E11" s="10" t="inlineStr">
        <is>
          <t>Ph1</t>
        </is>
      </c>
      <c r="F11" s="22" t="inlineStr">
        <is>
          <t>Covered</t>
        </is>
      </c>
    </row>
    <row r="12" ht="24" customHeight="1">
      <c r="A12" s="4" t="inlineStr">
        <is>
          <t>D.4</t>
        </is>
      </c>
      <c r="B12" s="3" t="inlineStr">
        <is>
          <t>Cover page validation</t>
        </is>
      </c>
      <c r="C12" s="3" t="inlineStr">
        <is>
          <t>EDMS</t>
        </is>
      </c>
      <c r="D12" s="3" t="inlineStr">
        <is>
          <t>PF-01</t>
        </is>
      </c>
      <c r="E12" s="4" t="inlineStr">
        <is>
          <t>Ph1</t>
        </is>
      </c>
      <c r="F12" s="22" t="inlineStr">
        <is>
          <t>Covered</t>
        </is>
      </c>
    </row>
    <row r="13" ht="24" customHeight="1">
      <c r="A13" s="10" t="inlineStr">
        <is>
          <t>D.5</t>
        </is>
      </c>
      <c r="B13" s="9" t="inlineStr">
        <is>
          <t>8-step document submission/review cycle</t>
        </is>
      </c>
      <c r="C13" s="9" t="inlineStr">
        <is>
          <t>Workflow</t>
        </is>
      </c>
      <c r="D13" s="9" t="inlineStr">
        <is>
          <t>PF-01</t>
        </is>
      </c>
      <c r="E13" s="10" t="inlineStr">
        <is>
          <t>Ph1</t>
        </is>
      </c>
      <c r="F13" s="22" t="inlineStr">
        <is>
          <t>Covered</t>
        </is>
      </c>
    </row>
    <row r="14" ht="24" customHeight="1">
      <c r="A14" s="4" t="inlineStr">
        <is>
          <t>D.6</t>
        </is>
      </c>
      <c r="B14" s="3" t="inlineStr">
        <is>
          <t>Review SLA timers (D+3/D+5/D+7)</t>
        </is>
      </c>
      <c r="C14" s="3" t="inlineStr">
        <is>
          <t>Workflow</t>
        </is>
      </c>
      <c r="D14" s="3" t="inlineStr">
        <is>
          <t>PF-01, PF-09</t>
        </is>
      </c>
      <c r="E14" s="4" t="inlineStr">
        <is>
          <t>Ph1</t>
        </is>
      </c>
      <c r="F14" s="22" t="inlineStr">
        <is>
          <t>Covered</t>
        </is>
      </c>
    </row>
    <row r="15" ht="24" customHeight="1">
      <c r="A15" s="10" t="inlineStr">
        <is>
          <t>D.7</t>
        </is>
      </c>
      <c r="B15" s="9" t="inlineStr">
        <is>
          <t>Review status codes</t>
        </is>
      </c>
      <c r="C15" s="9" t="inlineStr">
        <is>
          <t>Workflow</t>
        </is>
      </c>
      <c r="D15" s="9" t="inlineStr">
        <is>
          <t>PF-01</t>
        </is>
      </c>
      <c r="E15" s="10" t="inlineStr">
        <is>
          <t>Ph1</t>
        </is>
      </c>
      <c r="F15" s="22" t="inlineStr">
        <is>
          <t>Covered</t>
        </is>
      </c>
    </row>
    <row r="16" ht="24" customHeight="1">
      <c r="A16" s="4" t="inlineStr">
        <is>
          <t>D.8</t>
        </is>
      </c>
      <c r="B16" s="3" t="inlineStr">
        <is>
          <t>Transmittal register (in/out)</t>
        </is>
      </c>
      <c r="C16" s="3" t="inlineStr">
        <is>
          <t>EDMS</t>
        </is>
      </c>
      <c r="D16" s="3" t="inlineStr">
        <is>
          <t>PF-01</t>
        </is>
      </c>
      <c r="E16" s="4" t="inlineStr">
        <is>
          <t>Ph1</t>
        </is>
      </c>
      <c r="F16" s="22" t="inlineStr">
        <is>
          <t>Covered</t>
        </is>
      </c>
    </row>
    <row r="17" ht="24" customHeight="1">
      <c r="A17" s="10" t="inlineStr">
        <is>
          <t>D.9</t>
        </is>
      </c>
      <c r="B17" s="9" t="inlineStr">
        <is>
          <t>PDF markup</t>
        </is>
      </c>
      <c r="C17" s="9" t="inlineStr">
        <is>
          <t>EDMS</t>
        </is>
      </c>
      <c r="D17" s="9" t="inlineStr">
        <is>
          <t>PF-01</t>
        </is>
      </c>
      <c r="E17" s="10" t="inlineStr">
        <is>
          <t>Ph1</t>
        </is>
      </c>
      <c r="F17" s="22" t="inlineStr">
        <is>
          <t>Covered</t>
        </is>
      </c>
    </row>
    <row r="18" ht="24" customHeight="1">
      <c r="A18" s="4" t="inlineStr">
        <is>
          <t>G.1</t>
        </is>
      </c>
      <c r="B18" s="3" t="inlineStr">
        <is>
          <t>Budget Freeze gateway</t>
        </is>
      </c>
      <c r="C18" s="3" t="inlineStr">
        <is>
          <t>Freeze</t>
        </is>
      </c>
      <c r="D18" s="3" t="inlineStr">
        <is>
          <t>PF-05, PF-06</t>
        </is>
      </c>
      <c r="E18" s="4" t="inlineStr">
        <is>
          <t>Ph1</t>
        </is>
      </c>
      <c r="F18" s="22" t="inlineStr">
        <is>
          <t>Covered</t>
        </is>
      </c>
    </row>
    <row r="19" ht="24" customHeight="1">
      <c r="A19" s="10" t="inlineStr">
        <is>
          <t>G.2</t>
        </is>
      </c>
      <c r="B19" s="9" t="inlineStr">
        <is>
          <t>Design Freeze gateway</t>
        </is>
      </c>
      <c r="C19" s="9" t="inlineStr">
        <is>
          <t>Freeze</t>
        </is>
      </c>
      <c r="D19" s="9" t="inlineStr">
        <is>
          <t>PF-06, PF-08</t>
        </is>
      </c>
      <c r="E19" s="10" t="inlineStr">
        <is>
          <t>Ph1</t>
        </is>
      </c>
      <c r="F19" s="22" t="inlineStr">
        <is>
          <t>Covered</t>
        </is>
      </c>
    </row>
    <row r="20" ht="24" customHeight="1">
      <c r="A20" s="4" t="inlineStr">
        <is>
          <t>G.3</t>
        </is>
      </c>
      <c r="B20" s="3" t="inlineStr">
        <is>
          <t>Scope Freeze gateway</t>
        </is>
      </c>
      <c r="C20" s="3" t="inlineStr">
        <is>
          <t>Freeze</t>
        </is>
      </c>
      <c r="D20" s="3" t="inlineStr">
        <is>
          <t>PF-06, PF-08</t>
        </is>
      </c>
      <c r="E20" s="4" t="inlineStr">
        <is>
          <t>Ph1</t>
        </is>
      </c>
      <c r="F20" s="22" t="inlineStr">
        <is>
          <t>Covered</t>
        </is>
      </c>
    </row>
    <row r="21" ht="24" customHeight="1">
      <c r="A21" s="10" t="inlineStr">
        <is>
          <t>G.4</t>
        </is>
      </c>
      <c r="B21" s="9" t="inlineStr">
        <is>
          <t>Regulatory Freeze gateway</t>
        </is>
      </c>
      <c r="C21" s="9" t="inlineStr">
        <is>
          <t>Freeze</t>
        </is>
      </c>
      <c r="D21" s="9" t="inlineStr">
        <is>
          <t>PF-06, PF-10</t>
        </is>
      </c>
      <c r="E21" s="10" t="inlineStr">
        <is>
          <t>Ph1</t>
        </is>
      </c>
      <c r="F21" s="22" t="inlineStr">
        <is>
          <t>Covered</t>
        </is>
      </c>
    </row>
    <row r="22" ht="24" customHeight="1">
      <c r="A22" s="4" t="inlineStr">
        <is>
          <t>G.5</t>
        </is>
      </c>
      <c r="B22" s="3" t="inlineStr">
        <is>
          <t>Single accountable approver per stage/process</t>
        </is>
      </c>
      <c r="C22" s="3" t="inlineStr">
        <is>
          <t>Approval</t>
        </is>
      </c>
      <c r="D22" s="3" t="inlineStr">
        <is>
          <t>PF-09</t>
        </is>
      </c>
      <c r="E22" s="4" t="inlineStr">
        <is>
          <t>Ph1</t>
        </is>
      </c>
      <c r="F22" s="22" t="inlineStr">
        <is>
          <t>Covered</t>
        </is>
      </c>
    </row>
    <row r="23" ht="24" customHeight="1">
      <c r="A23" s="10" t="inlineStr">
        <is>
          <t>G.6</t>
        </is>
      </c>
      <c r="B23" s="9" t="inlineStr">
        <is>
          <t>7 configurable workflow types</t>
        </is>
      </c>
      <c r="C23" s="9" t="inlineStr">
        <is>
          <t>Approval</t>
        </is>
      </c>
      <c r="D23" s="9" t="inlineStr">
        <is>
          <t>PF-09</t>
        </is>
      </c>
      <c r="E23" s="10" t="inlineStr">
        <is>
          <t>Ph1</t>
        </is>
      </c>
      <c r="F23" s="22" t="inlineStr">
        <is>
          <t>Covered</t>
        </is>
      </c>
    </row>
    <row r="24" ht="24" customHeight="1">
      <c r="A24" s="4" t="inlineStr">
        <is>
          <t>G.7</t>
        </is>
      </c>
      <c r="B24" s="3" t="inlineStr">
        <is>
          <t>SLA timers + escalation</t>
        </is>
      </c>
      <c r="C24" s="3" t="inlineStr">
        <is>
          <t>Approval</t>
        </is>
      </c>
      <c r="D24" s="3" t="inlineStr">
        <is>
          <t>PF-09, PF-01</t>
        </is>
      </c>
      <c r="E24" s="4" t="inlineStr">
        <is>
          <t>Ph1</t>
        </is>
      </c>
      <c r="F24" s="22" t="inlineStr">
        <is>
          <t>Covered</t>
        </is>
      </c>
    </row>
    <row r="25" ht="24" customHeight="1">
      <c r="A25" s="10" t="inlineStr">
        <is>
          <t>G.8</t>
        </is>
      </c>
      <c r="B25" s="9" t="inlineStr">
        <is>
          <t>Authority delegation</t>
        </is>
      </c>
      <c r="C25" s="9" t="inlineStr">
        <is>
          <t>Approval</t>
        </is>
      </c>
      <c r="D25" s="9" t="inlineStr">
        <is>
          <t>PF-09</t>
        </is>
      </c>
      <c r="E25" s="10" t="inlineStr">
        <is>
          <t>Ph1</t>
        </is>
      </c>
      <c r="F25" s="22" t="inlineStr">
        <is>
          <t>Covered</t>
        </is>
      </c>
    </row>
    <row r="26" ht="24" customHeight="1">
      <c r="A26" s="4" t="inlineStr">
        <is>
          <t>G.9</t>
        </is>
      </c>
      <c r="B26" s="3" t="inlineStr">
        <is>
          <t>Digital signatures</t>
        </is>
      </c>
      <c r="C26" s="3" t="inlineStr">
        <is>
          <t>Approval</t>
        </is>
      </c>
      <c r="D26" s="3" t="inlineStr">
        <is>
          <t>PF-09</t>
        </is>
      </c>
      <c r="E26" s="4" t="inlineStr">
        <is>
          <t>Ph1</t>
        </is>
      </c>
      <c r="F26" s="22" t="inlineStr">
        <is>
          <t>Covered</t>
        </is>
      </c>
    </row>
    <row r="27" ht="24" customHeight="1">
      <c r="A27" s="10" t="inlineStr">
        <is>
          <t>G.10</t>
        </is>
      </c>
      <c r="B27" s="9" t="inlineStr">
        <is>
          <t>Full audit trail for every action</t>
        </is>
      </c>
      <c r="C27" s="9" t="inlineStr">
        <is>
          <t>Audit</t>
        </is>
      </c>
      <c r="D27" s="9" t="inlineStr">
        <is>
          <t>PF-08, PF-09, PF-20</t>
        </is>
      </c>
      <c r="E27" s="10" t="inlineStr">
        <is>
          <t>Ph1</t>
        </is>
      </c>
      <c r="F27" s="22" t="inlineStr">
        <is>
          <t>Covered</t>
        </is>
      </c>
    </row>
    <row r="28" ht="24" customHeight="1">
      <c r="A28" s="4" t="inlineStr">
        <is>
          <t>C.1</t>
        </is>
      </c>
      <c r="B28" s="3" t="inlineStr">
        <is>
          <t>Letter registry linked to projects</t>
        </is>
      </c>
      <c r="C28" s="3" t="inlineStr">
        <is>
          <t>Correspondence</t>
        </is>
      </c>
      <c r="D28" s="3" t="inlineStr">
        <is>
          <t>PF-02</t>
        </is>
      </c>
      <c r="E28" s="4" t="inlineStr">
        <is>
          <t>Ph1</t>
        </is>
      </c>
      <c r="F28" s="22" t="inlineStr">
        <is>
          <t>Covered</t>
        </is>
      </c>
    </row>
    <row r="29" ht="24" customHeight="1">
      <c r="A29" s="10" t="inlineStr">
        <is>
          <t>C.2</t>
        </is>
      </c>
      <c r="B29" s="9" t="inlineStr">
        <is>
          <t>FIDIC correspondence sequence</t>
        </is>
      </c>
      <c r="C29" s="9" t="inlineStr">
        <is>
          <t>Correspondence</t>
        </is>
      </c>
      <c r="D29" s="9" t="inlineStr">
        <is>
          <t>PF-02</t>
        </is>
      </c>
      <c r="E29" s="10" t="inlineStr">
        <is>
          <t>Ph2</t>
        </is>
      </c>
      <c r="F29" s="22" t="inlineStr">
        <is>
          <t>Covered</t>
        </is>
      </c>
    </row>
    <row r="30" ht="24" customHeight="1">
      <c r="A30" s="4" t="inlineStr">
        <is>
          <t>P.1</t>
        </is>
      </c>
      <c r="B30" s="3" t="inlineStr">
        <is>
          <t>Supplier/contractor database</t>
        </is>
      </c>
      <c r="C30" s="3" t="inlineStr">
        <is>
          <t>Procurement</t>
        </is>
      </c>
      <c r="D30" s="3" t="inlineStr">
        <is>
          <t>PF-07, PF-18</t>
        </is>
      </c>
      <c r="E30" s="4" t="inlineStr">
        <is>
          <t>Ph2</t>
        </is>
      </c>
      <c r="F30" s="22" t="inlineStr">
        <is>
          <t>Covered</t>
        </is>
      </c>
    </row>
    <row r="31" ht="24" customHeight="1">
      <c r="A31" s="10" t="inlineStr">
        <is>
          <t>P.2</t>
        </is>
      </c>
      <c r="B31" s="9" t="inlineStr">
        <is>
          <t>RFP, evaluation, recommendation workflow</t>
        </is>
      </c>
      <c r="C31" s="9" t="inlineStr">
        <is>
          <t>Procurement</t>
        </is>
      </c>
      <c r="D31" s="9" t="inlineStr">
        <is>
          <t>PF-07</t>
        </is>
      </c>
      <c r="E31" s="10" t="inlineStr">
        <is>
          <t>Ph2</t>
        </is>
      </c>
      <c r="F31" s="22" t="inlineStr">
        <is>
          <t>Covered</t>
        </is>
      </c>
    </row>
    <row r="32" ht="24" customHeight="1">
      <c r="A32" s="4" t="inlineStr">
        <is>
          <t>P.3</t>
        </is>
      </c>
      <c r="B32" s="3" t="inlineStr">
        <is>
          <t>Contract Award/contract register with alerts</t>
        </is>
      </c>
      <c r="C32" s="3" t="inlineStr">
        <is>
          <t>Procurement</t>
        </is>
      </c>
      <c r="D32" s="3" t="inlineStr">
        <is>
          <t>PF-07</t>
        </is>
      </c>
      <c r="E32" s="4" t="inlineStr">
        <is>
          <t>Ph2</t>
        </is>
      </c>
      <c r="F32" s="22" t="inlineStr">
        <is>
          <t>Covered</t>
        </is>
      </c>
    </row>
    <row r="33" ht="24" customHeight="1">
      <c r="A33" s="10" t="inlineStr">
        <is>
          <t>Q.1</t>
        </is>
      </c>
      <c r="B33" s="9" t="inlineStr">
        <is>
          <t>IR/NCR digital forms</t>
        </is>
      </c>
      <c r="C33" s="9" t="inlineStr">
        <is>
          <t>Quality</t>
        </is>
      </c>
      <c r="D33" s="9" t="inlineStr">
        <is>
          <t>PF-12</t>
        </is>
      </c>
      <c r="E33" s="10" t="inlineStr">
        <is>
          <t>Ph2</t>
        </is>
      </c>
      <c r="F33" s="22" t="inlineStr">
        <is>
          <t>Covered</t>
        </is>
      </c>
    </row>
    <row r="34" ht="24" customHeight="1">
      <c r="A34" s="4" t="inlineStr">
        <is>
          <t>Q.2</t>
        </is>
      </c>
      <c r="B34" s="3" t="inlineStr">
        <is>
          <t>Daily/weekly site reports with photos</t>
        </is>
      </c>
      <c r="C34" s="3" t="inlineStr">
        <is>
          <t>Quality</t>
        </is>
      </c>
      <c r="D34" s="3" t="inlineStr">
        <is>
          <t>PF-13</t>
        </is>
      </c>
      <c r="E34" s="4" t="inlineStr">
        <is>
          <t>Ph2</t>
        </is>
      </c>
      <c r="F34" s="22" t="inlineStr">
        <is>
          <t>Covered</t>
        </is>
      </c>
    </row>
    <row r="35" ht="24" customHeight="1">
      <c r="A35" s="10" t="inlineStr">
        <is>
          <t>Q.3</t>
        </is>
      </c>
      <c r="B35" s="9" t="inlineStr">
        <is>
          <t>S-curve progress tracking</t>
        </is>
      </c>
      <c r="C35" s="9" t="inlineStr">
        <is>
          <t>Quality</t>
        </is>
      </c>
      <c r="D35" s="9" t="inlineStr">
        <is>
          <t>PF-13</t>
        </is>
      </c>
      <c r="E35" s="10" t="inlineStr">
        <is>
          <t>Ph2</t>
        </is>
      </c>
      <c r="F35" s="22" t="inlineStr">
        <is>
          <t>Covered</t>
        </is>
      </c>
    </row>
    <row r="36" ht="24" customHeight="1">
      <c r="A36" s="4" t="inlineStr">
        <is>
          <t>A.1</t>
        </is>
      </c>
      <c r="B36" s="3" t="inlineStr">
        <is>
          <t>QCDD/Kahramaa/Ashghal/CD tracker</t>
        </is>
      </c>
      <c r="C36" s="3" t="inlineStr">
        <is>
          <t>Authority</t>
        </is>
      </c>
      <c r="D36" s="3" t="inlineStr">
        <is>
          <t>PF-10</t>
        </is>
      </c>
      <c r="E36" s="4" t="inlineStr">
        <is>
          <t>Ph2</t>
        </is>
      </c>
      <c r="F36" s="22" t="inlineStr">
        <is>
          <t>Covered</t>
        </is>
      </c>
    </row>
    <row r="37" ht="24" customHeight="1">
      <c r="A37" s="10" t="inlineStr">
        <is>
          <t>H.1</t>
        </is>
      </c>
      <c r="B37" s="9" t="inlineStr">
        <is>
          <t>Digital Handover Package</t>
        </is>
      </c>
      <c r="C37" s="9" t="inlineStr">
        <is>
          <t>Handover</t>
        </is>
      </c>
      <c r="D37" s="9" t="inlineStr">
        <is>
          <t>PF-14</t>
        </is>
      </c>
      <c r="E37" s="10" t="inlineStr">
        <is>
          <t>Ph3</t>
        </is>
      </c>
      <c r="F37" s="22" t="inlineStr">
        <is>
          <t>Covered</t>
        </is>
      </c>
    </row>
    <row r="38" ht="24" customHeight="1">
      <c r="A38" s="4" t="inlineStr">
        <is>
          <t>H.2</t>
        </is>
      </c>
      <c r="B38" s="3" t="inlineStr">
        <is>
          <t>Defect list with assignment/closure</t>
        </is>
      </c>
      <c r="C38" s="3" t="inlineStr">
        <is>
          <t>DLP</t>
        </is>
      </c>
      <c r="D38" s="3" t="inlineStr">
        <is>
          <t>PF-15</t>
        </is>
      </c>
      <c r="E38" s="4" t="inlineStr">
        <is>
          <t>Ph3</t>
        </is>
      </c>
      <c r="F38" s="22" t="inlineStr">
        <is>
          <t>Covered</t>
        </is>
      </c>
    </row>
    <row r="39" ht="24" customHeight="1">
      <c r="A39" s="10" t="inlineStr">
        <is>
          <t>H.3</t>
        </is>
      </c>
      <c r="B39" s="9" t="inlineStr">
        <is>
          <t>Warranty/O&amp;M database</t>
        </is>
      </c>
      <c r="C39" s="9" t="inlineStr">
        <is>
          <t>DLP</t>
        </is>
      </c>
      <c r="D39" s="9" t="inlineStr">
        <is>
          <t>PF-16</t>
        </is>
      </c>
      <c r="E39" s="10" t="inlineStr">
        <is>
          <t>Ph3</t>
        </is>
      </c>
      <c r="F39" s="22" t="inlineStr">
        <is>
          <t>Covered</t>
        </is>
      </c>
    </row>
    <row r="40" ht="24" customHeight="1">
      <c r="A40" s="4" t="inlineStr">
        <is>
          <t>K.1</t>
        </is>
      </c>
      <c r="B40" s="3" t="inlineStr">
        <is>
          <t>Approval turnaround per department</t>
        </is>
      </c>
      <c r="C40" s="3" t="inlineStr">
        <is>
          <t>KPI</t>
        </is>
      </c>
      <c r="D40" s="3" t="inlineStr">
        <is>
          <t>PF-17</t>
        </is>
      </c>
      <c r="E40" s="4" t="inlineStr">
        <is>
          <t>Ph2</t>
        </is>
      </c>
      <c r="F40" s="22" t="inlineStr">
        <is>
          <t>Covered</t>
        </is>
      </c>
    </row>
    <row r="41" ht="24" customHeight="1">
      <c r="A41" s="10" t="inlineStr">
        <is>
          <t>K.2</t>
        </is>
      </c>
      <c r="B41" s="9" t="inlineStr">
        <is>
          <t>Cost deviation from baseline</t>
        </is>
      </c>
      <c r="C41" s="9" t="inlineStr">
        <is>
          <t>KPI</t>
        </is>
      </c>
      <c r="D41" s="9" t="inlineStr">
        <is>
          <t>PF-17</t>
        </is>
      </c>
      <c r="E41" s="10" t="inlineStr">
        <is>
          <t>Ph2</t>
        </is>
      </c>
      <c r="F41" s="22" t="inlineStr">
        <is>
          <t>Covered</t>
        </is>
      </c>
    </row>
    <row r="42" ht="24" customHeight="1">
      <c r="A42" s="4" t="inlineStr">
        <is>
          <t>K.3</t>
        </is>
      </c>
      <c r="B42" s="3" t="inlineStr">
        <is>
          <t>IPC processing time</t>
        </is>
      </c>
      <c r="C42" s="3" t="inlineStr">
        <is>
          <t>KPI</t>
        </is>
      </c>
      <c r="D42" s="3" t="inlineStr">
        <is>
          <t>PF-17, PF-03</t>
        </is>
      </c>
      <c r="E42" s="4" t="inlineStr">
        <is>
          <t>Ph2</t>
        </is>
      </c>
      <c r="F42" s="22" t="inlineStr">
        <is>
          <t>Covered</t>
        </is>
      </c>
    </row>
    <row r="43" ht="24" customHeight="1">
      <c r="A43" s="10" t="inlineStr">
        <is>
          <t>K.4</t>
        </is>
      </c>
      <c r="B43" s="9" t="inlineStr">
        <is>
          <t>Bottleneck flagging</t>
        </is>
      </c>
      <c r="C43" s="9" t="inlineStr">
        <is>
          <t>KPI</t>
        </is>
      </c>
      <c r="D43" s="9" t="inlineStr">
        <is>
          <t>PF-17</t>
        </is>
      </c>
      <c r="E43" s="10" t="inlineStr">
        <is>
          <t>Ph2</t>
        </is>
      </c>
      <c r="F43" s="22" t="inlineStr">
        <is>
          <t>Covered</t>
        </is>
      </c>
    </row>
    <row r="44" ht="24" customHeight="1">
      <c r="A44" s="4" t="inlineStr">
        <is>
          <t>K.5</t>
        </is>
      </c>
      <c r="B44" s="3" t="inlineStr">
        <is>
          <t>Contractor scorecard</t>
        </is>
      </c>
      <c r="C44" s="3" t="inlineStr">
        <is>
          <t>Score</t>
        </is>
      </c>
      <c r="D44" s="3" t="inlineStr">
        <is>
          <t>PF-18</t>
        </is>
      </c>
      <c r="E44" s="4" t="inlineStr">
        <is>
          <t>Ph3</t>
        </is>
      </c>
      <c r="F44" s="22" t="inlineStr">
        <is>
          <t>Covered</t>
        </is>
      </c>
    </row>
    <row r="45" ht="24" customHeight="1">
      <c r="A45" s="10" t="inlineStr">
        <is>
          <t>K.6</t>
        </is>
      </c>
      <c r="B45" s="9" t="inlineStr">
        <is>
          <t>Lessons learned database</t>
        </is>
      </c>
      <c r="C45" s="9" t="inlineStr">
        <is>
          <t>Lessons</t>
        </is>
      </c>
      <c r="D45" s="9" t="inlineStr">
        <is>
          <t>PF-19</t>
        </is>
      </c>
      <c r="E45" s="10" t="inlineStr">
        <is>
          <t>Ph2</t>
        </is>
      </c>
      <c r="F45" s="22" t="inlineStr">
        <is>
          <t>Covered</t>
        </is>
      </c>
    </row>
    <row r="46" ht="24" customHeight="1">
      <c r="A46" s="4" t="inlineStr">
        <is>
          <t>K.7</t>
        </is>
      </c>
      <c r="B46" s="3" t="inlineStr">
        <is>
          <t>Predictive cost deviation</t>
        </is>
      </c>
      <c r="C46" s="3" t="inlineStr">
        <is>
          <t>Analytics</t>
        </is>
      </c>
      <c r="D46" s="3" t="inlineStr">
        <is>
          <t>PF-22</t>
        </is>
      </c>
      <c r="E46" s="4" t="inlineStr">
        <is>
          <t>Ph2/4</t>
        </is>
      </c>
      <c r="F46" s="22" t="inlineStr">
        <is>
          <t>Covered</t>
        </is>
      </c>
    </row>
    <row r="47" ht="24" customHeight="1">
      <c r="A47" s="10" t="inlineStr">
        <is>
          <t>K.8</t>
        </is>
      </c>
      <c r="B47" s="9" t="inlineStr">
        <is>
          <t>Compliance anomaly detection</t>
        </is>
      </c>
      <c r="C47" s="9" t="inlineStr">
        <is>
          <t>Analytics</t>
        </is>
      </c>
      <c r="D47" s="9" t="inlineStr">
        <is>
          <t>PF-23</t>
        </is>
      </c>
      <c r="E47" s="10" t="inlineStr">
        <is>
          <t>Ph4</t>
        </is>
      </c>
      <c r="F47" s="22" t="inlineStr">
        <is>
          <t>Covered</t>
        </is>
      </c>
    </row>
    <row r="48" ht="24" customHeight="1">
      <c r="A48" s="4" t="inlineStr">
        <is>
          <t>E.1</t>
        </is>
      </c>
      <c r="B48" s="3" t="inlineStr">
        <is>
          <t>Bi-directional ERP integration</t>
        </is>
      </c>
      <c r="C48" s="3" t="inlineStr">
        <is>
          <t>ERP</t>
        </is>
      </c>
      <c r="D48" s="3" t="inlineStr">
        <is>
          <t>PF-20</t>
        </is>
      </c>
      <c r="E48" s="4" t="inlineStr">
        <is>
          <t>Ph3</t>
        </is>
      </c>
      <c r="F48" s="22" t="inlineStr">
        <is>
          <t>Covered</t>
        </is>
      </c>
    </row>
    <row r="49" ht="24" customHeight="1">
      <c r="A49" s="10" t="inlineStr">
        <is>
          <t>E.2</t>
        </is>
      </c>
      <c r="B49" s="9" t="inlineStr">
        <is>
          <t>Financial lock via ERP</t>
        </is>
      </c>
      <c r="C49" s="9" t="inlineStr">
        <is>
          <t>ERP</t>
        </is>
      </c>
      <c r="D49" s="9" t="inlineStr">
        <is>
          <t>PF-05, PF-20</t>
        </is>
      </c>
      <c r="E49" s="10" t="inlineStr">
        <is>
          <t>Ph3</t>
        </is>
      </c>
      <c r="F49" s="22" t="inlineStr">
        <is>
          <t>Covered</t>
        </is>
      </c>
    </row>
    <row r="50" ht="24" customHeight="1">
      <c r="A50" s="4" t="inlineStr">
        <is>
          <t>E.3</t>
        </is>
      </c>
      <c r="B50" s="3" t="inlineStr">
        <is>
          <t>External user access</t>
        </is>
      </c>
      <c r="C50" s="3" t="inlineStr">
        <is>
          <t>Access</t>
        </is>
      </c>
      <c r="D50" s="3" t="inlineStr">
        <is>
          <t>PF-21</t>
        </is>
      </c>
      <c r="E50" s="4" t="inlineStr">
        <is>
          <t>Ph2</t>
        </is>
      </c>
      <c r="F50" s="22" t="inlineStr">
        <is>
          <t>Covered</t>
        </is>
      </c>
    </row>
    <row r="51" ht="24" customHeight="1">
      <c r="A51" s="10" t="inlineStr">
        <is>
          <t>E.4</t>
        </is>
      </c>
      <c r="B51" s="9" t="inlineStr">
        <is>
          <t>Meeting/calendar + Outlook</t>
        </is>
      </c>
      <c r="C51" s="9" t="inlineStr">
        <is>
          <t>Calendar</t>
        </is>
      </c>
      <c r="D51" s="9" t="inlineStr">
        <is>
          <t>—</t>
        </is>
      </c>
      <c r="E51" s="10" t="inlineStr">
        <is>
          <t>Ph3</t>
        </is>
      </c>
      <c r="F51" s="6" t="inlineStr">
        <is>
          <t>Not Mapped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FF9800"/>
    <outlinePr summaryBelow="1" summaryRight="1"/>
    <pageSetUpPr/>
  </sheetPr>
  <dimension ref="A1:F24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0" customWidth="1" min="1" max="1"/>
    <col width="38" customWidth="1" min="2" max="2"/>
    <col width="24" customWidth="1" min="3" max="4"/>
    <col width="8" customWidth="1" min="5" max="5"/>
    <col width="14" customWidth="1" min="6" max="6"/>
  </cols>
  <sheetData>
    <row r="1" ht="30" customHeight="1">
      <c r="A1" s="23" t="inlineStr">
        <is>
          <t>PF-ID</t>
        </is>
      </c>
      <c r="B1" s="23" t="inlineStr">
        <is>
          <t>Process Flow Name</t>
        </is>
      </c>
      <c r="C1" s="23" t="inlineStr">
        <is>
          <t>Predecessor PF(s)</t>
        </is>
      </c>
      <c r="D1" s="23" t="inlineStr">
        <is>
          <t>Downstream PF(s)</t>
        </is>
      </c>
      <c r="E1" s="23" t="inlineStr">
        <is>
          <t>Phase</t>
        </is>
      </c>
      <c r="F1" s="23" t="inlineStr">
        <is>
          <t>Critical Path?</t>
        </is>
      </c>
    </row>
    <row r="2" ht="27.75" customHeight="1">
      <c r="A2" s="4" t="inlineStr">
        <is>
          <t>PF-01</t>
        </is>
      </c>
      <c r="B2" s="3" t="inlineStr">
        <is>
          <t>Document Submission &amp; Review (8-Step Cycle)</t>
        </is>
      </c>
      <c r="C2" s="3" t="inlineStr">
        <is>
          <t>—</t>
        </is>
      </c>
      <c r="D2" s="3" t="inlineStr">
        <is>
          <t>PF-03, PF-05, PF-07</t>
        </is>
      </c>
      <c r="E2" s="4" t="inlineStr">
        <is>
          <t>Ph1</t>
        </is>
      </c>
      <c r="F2" s="6" t="inlineStr">
        <is>
          <t>YES</t>
        </is>
      </c>
    </row>
    <row r="3" ht="27.75" customHeight="1">
      <c r="A3" s="10" t="inlineStr">
        <is>
          <t>PF-02</t>
        </is>
      </c>
      <c r="B3" s="9" t="inlineStr">
        <is>
          <t>Correspondence Management (FIDIC Sequence)</t>
        </is>
      </c>
      <c r="C3" s="9" t="inlineStr">
        <is>
          <t>PF-01</t>
        </is>
      </c>
      <c r="D3" s="9" t="inlineStr">
        <is>
          <t>PF-03, PF-11</t>
        </is>
      </c>
      <c r="E3" s="10" t="inlineStr">
        <is>
          <t>Ph1</t>
        </is>
      </c>
      <c r="F3" s="10" t="inlineStr">
        <is>
          <t>No</t>
        </is>
      </c>
    </row>
    <row r="4" ht="27.75" customHeight="1">
      <c r="A4" s="4" t="inlineStr">
        <is>
          <t>PF-03</t>
        </is>
      </c>
      <c r="B4" s="3" t="inlineStr">
        <is>
          <t>IPC Certification &amp; Payment</t>
        </is>
      </c>
      <c r="C4" s="3" t="inlineStr">
        <is>
          <t>PF-01, PF-09</t>
        </is>
      </c>
      <c r="D4" s="3" t="inlineStr">
        <is>
          <t>PF-15</t>
        </is>
      </c>
      <c r="E4" s="4" t="inlineStr">
        <is>
          <t>Ph1</t>
        </is>
      </c>
      <c r="F4" s="4" t="inlineStr">
        <is>
          <t>No</t>
        </is>
      </c>
    </row>
    <row r="5" ht="27.75" customHeight="1">
      <c r="A5" s="10" t="inlineStr">
        <is>
          <t>PF-04</t>
        </is>
      </c>
      <c r="B5" s="9" t="inlineStr">
        <is>
          <t>Variation / Change Order Approval</t>
        </is>
      </c>
      <c r="C5" s="9" t="inlineStr">
        <is>
          <t>PF-06, PF-01</t>
        </is>
      </c>
      <c r="D5" s="9" t="inlineStr">
        <is>
          <t>PF-03, PF-15</t>
        </is>
      </c>
      <c r="E5" s="10" t="inlineStr">
        <is>
          <t>Ph1</t>
        </is>
      </c>
      <c r="F5" s="10" t="inlineStr">
        <is>
          <t>No</t>
        </is>
      </c>
    </row>
    <row r="6" ht="27.75" customHeight="1">
      <c r="A6" s="4" t="inlineStr">
        <is>
          <t>PF-05</t>
        </is>
      </c>
      <c r="B6" s="3" t="inlineStr">
        <is>
          <t>Spatial Coordination Approval Workflow</t>
        </is>
      </c>
      <c r="C6" s="3" t="inlineStr">
        <is>
          <t>PF-08</t>
        </is>
      </c>
      <c r="D6" s="3" t="inlineStr">
        <is>
          <t>PF-04, PF-06, PF-09</t>
        </is>
      </c>
      <c r="E6" s="4" t="inlineStr">
        <is>
          <t>Ph1</t>
        </is>
      </c>
      <c r="F6" s="6" t="inlineStr">
        <is>
          <t>YES</t>
        </is>
      </c>
    </row>
    <row r="7" ht="27.75" customHeight="1">
      <c r="A7" s="10" t="inlineStr">
        <is>
          <t>PF-06</t>
        </is>
      </c>
      <c r="B7" s="9" t="inlineStr">
        <is>
          <t>Freeze Exception Workflow</t>
        </is>
      </c>
      <c r="C7" s="9" t="inlineStr">
        <is>
          <t>PF-05, PF-08</t>
        </is>
      </c>
      <c r="D7" s="9" t="inlineStr">
        <is>
          <t>PF-04, PF-09</t>
        </is>
      </c>
      <c r="E7" s="10" t="inlineStr">
        <is>
          <t>Ph1</t>
        </is>
      </c>
      <c r="F7" s="6" t="inlineStr">
        <is>
          <t>YES</t>
        </is>
      </c>
    </row>
    <row r="8" ht="27.75" customHeight="1">
      <c r="A8" s="4" t="inlineStr">
        <is>
          <t>PF-07</t>
        </is>
      </c>
      <c r="B8" s="3" t="inlineStr">
        <is>
          <t>Procurement (RFP to Contract Award/Contract)</t>
        </is>
      </c>
      <c r="C8" s="3" t="inlineStr">
        <is>
          <t>PF-05, PF-06, PF-08</t>
        </is>
      </c>
      <c r="D8" s="3" t="inlineStr">
        <is>
          <t>PF-03, PF-15</t>
        </is>
      </c>
      <c r="E8" s="4" t="inlineStr">
        <is>
          <t>Ph2</t>
        </is>
      </c>
      <c r="F8" s="4" t="inlineStr">
        <is>
          <t>No</t>
        </is>
      </c>
    </row>
    <row r="9" ht="27.75" customHeight="1">
      <c r="A9" s="10" t="inlineStr">
        <is>
          <t>PF-08</t>
        </is>
      </c>
      <c r="B9" s="9" t="inlineStr">
        <is>
          <t>Stage-Gate Progression</t>
        </is>
      </c>
      <c r="C9" s="9" t="inlineStr">
        <is>
          <t>PF-01, PF-09, PF-11</t>
        </is>
      </c>
      <c r="D9" s="9" t="inlineStr">
        <is>
          <t>PF-05, PF-06, PF-07</t>
        </is>
      </c>
      <c r="E9" s="10" t="inlineStr">
        <is>
          <t>Ph1</t>
        </is>
      </c>
      <c r="F9" s="6" t="inlineStr">
        <is>
          <t>YES</t>
        </is>
      </c>
    </row>
    <row r="10" ht="27.75" customHeight="1">
      <c r="A10" s="4" t="inlineStr">
        <is>
          <t>PF-09</t>
        </is>
      </c>
      <c r="B10" s="3" t="inlineStr">
        <is>
          <t>Approval Matrix Routing</t>
        </is>
      </c>
      <c r="C10" s="3" t="inlineStr">
        <is>
          <t>—</t>
        </is>
      </c>
      <c r="D10" s="3" t="inlineStr">
        <is>
          <t>PF-03, PF-04, PF-05, PF-07, PF-08</t>
        </is>
      </c>
      <c r="E10" s="4" t="inlineStr">
        <is>
          <t>Ph1</t>
        </is>
      </c>
      <c r="F10" s="6" t="inlineStr">
        <is>
          <t>YES</t>
        </is>
      </c>
    </row>
    <row r="11" ht="27.75" customHeight="1">
      <c r="A11" s="10" t="inlineStr">
        <is>
          <t>PF-10</t>
        </is>
      </c>
      <c r="B11" s="9" t="inlineStr">
        <is>
          <t>Authority Submission Tracking (DC1/DC2/BCC/NOC)</t>
        </is>
      </c>
      <c r="C11" s="9" t="inlineStr">
        <is>
          <t>PF-01, PF-08</t>
        </is>
      </c>
      <c r="D11" s="9" t="inlineStr">
        <is>
          <t>PF-08</t>
        </is>
      </c>
      <c r="E11" s="10" t="inlineStr">
        <is>
          <t>Ph2</t>
        </is>
      </c>
      <c r="F11" s="10" t="inlineStr">
        <is>
          <t>No</t>
        </is>
      </c>
    </row>
    <row r="12" ht="27.75" customHeight="1">
      <c r="A12" s="4" t="inlineStr">
        <is>
          <t>PF-11</t>
        </is>
      </c>
      <c r="B12" s="3" t="inlineStr">
        <is>
          <t>GSAS Sustainability Checkpoint Tracking</t>
        </is>
      </c>
      <c r="C12" s="3" t="inlineStr">
        <is>
          <t>PF-08, PF-10</t>
        </is>
      </c>
      <c r="D12" s="3" t="inlineStr">
        <is>
          <t>PF-08</t>
        </is>
      </c>
      <c r="E12" s="4" t="inlineStr">
        <is>
          <t>Ph2</t>
        </is>
      </c>
      <c r="F12" s="4" t="inlineStr">
        <is>
          <t>No</t>
        </is>
      </c>
    </row>
    <row r="13" ht="27.75" customHeight="1">
      <c r="A13" s="10" t="inlineStr">
        <is>
          <t>PF-12</t>
        </is>
      </c>
      <c r="B13" s="9" t="inlineStr">
        <is>
          <t>Inspection Request (IR) &amp; Non-Conformance Report (NCR) Lifecycle</t>
        </is>
      </c>
      <c r="C13" s="9" t="inlineStr">
        <is>
          <t>PF-01</t>
        </is>
      </c>
      <c r="D13" s="9" t="inlineStr">
        <is>
          <t>PF-08, PF-14</t>
        </is>
      </c>
      <c r="E13" s="10" t="inlineStr">
        <is>
          <t>Ph2</t>
        </is>
      </c>
      <c r="F13" s="10" t="inlineStr">
        <is>
          <t>No</t>
        </is>
      </c>
    </row>
    <row r="14" ht="27.75" customHeight="1">
      <c r="A14" s="4" t="inlineStr">
        <is>
          <t>PF-13</t>
        </is>
      </c>
      <c r="B14" s="3" t="inlineStr">
        <is>
          <t>Daily/Weekly Site Reporting</t>
        </is>
      </c>
      <c r="C14" s="3" t="inlineStr">
        <is>
          <t>—</t>
        </is>
      </c>
      <c r="D14" s="3" t="inlineStr">
        <is>
          <t>PF-08, PF-17</t>
        </is>
      </c>
      <c r="E14" s="4" t="inlineStr">
        <is>
          <t>Ph2</t>
        </is>
      </c>
      <c r="F14" s="4" t="inlineStr">
        <is>
          <t>No</t>
        </is>
      </c>
    </row>
    <row r="15" ht="27.75" customHeight="1">
      <c r="A15" s="10" t="inlineStr">
        <is>
          <t>PF-14</t>
        </is>
      </c>
      <c r="B15" s="9" t="inlineStr">
        <is>
          <t>Handover Package Assembly</t>
        </is>
      </c>
      <c r="C15" s="9" t="inlineStr">
        <is>
          <t>PF-01, PF-12</t>
        </is>
      </c>
      <c r="D15" s="9" t="inlineStr">
        <is>
          <t>PF-08, PF-16</t>
        </is>
      </c>
      <c r="E15" s="10" t="inlineStr">
        <is>
          <t>Ph3</t>
        </is>
      </c>
      <c r="F15" s="10" t="inlineStr">
        <is>
          <t>No</t>
        </is>
      </c>
    </row>
    <row r="16" ht="27.75" customHeight="1">
      <c r="A16" s="4" t="inlineStr">
        <is>
          <t>PF-15</t>
        </is>
      </c>
      <c r="B16" s="3" t="inlineStr">
        <is>
          <t>DLP Defect Lifecycle</t>
        </is>
      </c>
      <c r="C16" s="3" t="inlineStr">
        <is>
          <t>PF-14, PF-08</t>
        </is>
      </c>
      <c r="D16" s="3" t="inlineStr">
        <is>
          <t>PF-17</t>
        </is>
      </c>
      <c r="E16" s="4" t="inlineStr">
        <is>
          <t>Ph3</t>
        </is>
      </c>
      <c r="F16" s="4" t="inlineStr">
        <is>
          <t>No</t>
        </is>
      </c>
    </row>
    <row r="17" ht="27.75" customHeight="1">
      <c r="A17" s="10" t="inlineStr">
        <is>
          <t>PF-16</t>
        </is>
      </c>
      <c r="B17" s="9" t="inlineStr">
        <is>
          <t>Warranty &amp; O&amp;M Database Management</t>
        </is>
      </c>
      <c r="C17" s="9" t="inlineStr">
        <is>
          <t>PF-14</t>
        </is>
      </c>
      <c r="D17" s="9" t="inlineStr">
        <is>
          <t>PF-15</t>
        </is>
      </c>
      <c r="E17" s="10" t="inlineStr">
        <is>
          <t>Ph3</t>
        </is>
      </c>
      <c r="F17" s="10" t="inlineStr">
        <is>
          <t>No</t>
        </is>
      </c>
    </row>
    <row r="18" ht="27.75" customHeight="1">
      <c r="A18" s="4" t="inlineStr">
        <is>
          <t>PF-17</t>
        </is>
      </c>
      <c r="B18" s="3" t="inlineStr">
        <is>
          <t>KPI Calculation &amp; Dashboard Refresh</t>
        </is>
      </c>
      <c r="C18" s="3" t="inlineStr">
        <is>
          <t>PF-03, PF-04, PF-08, PF-09, PF-13</t>
        </is>
      </c>
      <c r="D18" s="3" t="inlineStr">
        <is>
          <t>—</t>
        </is>
      </c>
      <c r="E18" s="4" t="inlineStr">
        <is>
          <t>Ph2</t>
        </is>
      </c>
      <c r="F18" s="4" t="inlineStr">
        <is>
          <t>No</t>
        </is>
      </c>
    </row>
    <row r="19" ht="27.75" customHeight="1">
      <c r="A19" s="10" t="inlineStr">
        <is>
          <t>PF-18</t>
        </is>
      </c>
      <c r="B19" s="9" t="inlineStr">
        <is>
          <t>Contractor Scoring</t>
        </is>
      </c>
      <c r="C19" s="9" t="inlineStr">
        <is>
          <t>PF-03, PF-04, PF-12, PF-15</t>
        </is>
      </c>
      <c r="D19" s="9" t="inlineStr">
        <is>
          <t>PF-07</t>
        </is>
      </c>
      <c r="E19" s="10" t="inlineStr">
        <is>
          <t>Ph3</t>
        </is>
      </c>
      <c r="F19" s="10" t="inlineStr">
        <is>
          <t>No</t>
        </is>
      </c>
    </row>
    <row r="20" ht="27.75" customHeight="1">
      <c r="A20" s="4" t="inlineStr">
        <is>
          <t>PF-19</t>
        </is>
      </c>
      <c r="B20" s="3" t="inlineStr">
        <is>
          <t>Lessons Learned Capture &amp; Rule Conversion</t>
        </is>
      </c>
      <c r="C20" s="3" t="inlineStr">
        <is>
          <t>PF-08, PF-12, PF-17</t>
        </is>
      </c>
      <c r="D20" s="3" t="inlineStr">
        <is>
          <t>PF-08, PF-09</t>
        </is>
      </c>
      <c r="E20" s="4" t="inlineStr">
        <is>
          <t>Ph2</t>
        </is>
      </c>
      <c r="F20" s="4" t="inlineStr">
        <is>
          <t>No</t>
        </is>
      </c>
    </row>
    <row r="21" ht="27.75" customHeight="1">
      <c r="A21" s="10" t="inlineStr">
        <is>
          <t>PF-20</t>
        </is>
      </c>
      <c r="B21" s="9" t="inlineStr">
        <is>
          <t>ERP Bi-Directional Sync Logic</t>
        </is>
      </c>
      <c r="C21" s="9" t="inlineStr">
        <is>
          <t>PF-03, PF-04, PF-05, PF-07</t>
        </is>
      </c>
      <c r="D21" s="9" t="inlineStr">
        <is>
          <t>—</t>
        </is>
      </c>
      <c r="E21" s="10" t="inlineStr">
        <is>
          <t>Ph3</t>
        </is>
      </c>
      <c r="F21" s="6" t="inlineStr">
        <is>
          <t>YES</t>
        </is>
      </c>
    </row>
    <row r="22" ht="27.75" customHeight="1">
      <c r="A22" s="4" t="inlineStr">
        <is>
          <t>PF-21</t>
        </is>
      </c>
      <c r="B22" s="3" t="inlineStr">
        <is>
          <t>External User Access Provisioning</t>
        </is>
      </c>
      <c r="C22" s="3" t="inlineStr">
        <is>
          <t>—</t>
        </is>
      </c>
      <c r="D22" s="3" t="inlineStr">
        <is>
          <t>PF-01, PF-03, PF-07</t>
        </is>
      </c>
      <c r="E22" s="4" t="inlineStr">
        <is>
          <t>Ph2</t>
        </is>
      </c>
      <c r="F22" s="4" t="inlineStr">
        <is>
          <t>No</t>
        </is>
      </c>
    </row>
    <row r="23" ht="27.75" customHeight="1">
      <c r="A23" s="10" t="inlineStr">
        <is>
          <t>PF-22</t>
        </is>
      </c>
      <c r="B23" s="9" t="inlineStr">
        <is>
          <t>Predictive Cost Deviation Alert</t>
        </is>
      </c>
      <c r="C23" s="9" t="inlineStr">
        <is>
          <t>PF-17, PF-03, PF-04</t>
        </is>
      </c>
      <c r="D23" s="9" t="inlineStr">
        <is>
          <t>PF-06</t>
        </is>
      </c>
      <c r="E23" s="10" t="inlineStr">
        <is>
          <t>Ph4</t>
        </is>
      </c>
      <c r="F23" s="10" t="inlineStr">
        <is>
          <t>No</t>
        </is>
      </c>
    </row>
    <row r="24" ht="27.75" customHeight="1">
      <c r="A24" s="4" t="inlineStr">
        <is>
          <t>PF-23</t>
        </is>
      </c>
      <c r="B24" s="3" t="inlineStr">
        <is>
          <t>Compliance Anomaly Detection</t>
        </is>
      </c>
      <c r="C24" s="3" t="inlineStr">
        <is>
          <t>PF-08, PF-09, PF-17</t>
        </is>
      </c>
      <c r="D24" s="3" t="inlineStr">
        <is>
          <t>PF-06</t>
        </is>
      </c>
      <c r="E24" s="4" t="inlineStr">
        <is>
          <t>Ph4</t>
        </is>
      </c>
      <c r="F24" s="4" t="inlineStr">
        <is>
          <t>No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B18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20" customWidth="1" min="1" max="1"/>
    <col width="50" customWidth="1" min="2" max="2"/>
  </cols>
  <sheetData>
    <row r="1">
      <c r="A1" s="19" t="inlineStr">
        <is>
          <t>Document Title</t>
        </is>
      </c>
      <c r="B1" s="24" t="inlineStr">
        <is>
          <t>HAI Process Flow Register — Master Inventory</t>
        </is>
      </c>
    </row>
    <row r="2">
      <c r="A2" s="16" t="inlineStr">
        <is>
          <t>Document Reference</t>
        </is>
      </c>
      <c r="B2" s="18" t="inlineStr">
        <is>
          <t>HAI-SS-PFR-2026-001</t>
        </is>
      </c>
    </row>
    <row r="3">
      <c r="A3" s="16" t="inlineStr">
        <is>
          <t>Version</t>
        </is>
      </c>
      <c r="B3" s="18" t="inlineStr">
        <is>
          <t>1.0 — DRAFT</t>
        </is>
      </c>
    </row>
    <row r="4">
      <c r="A4" s="16" t="inlineStr">
        <is>
          <t>Date</t>
        </is>
      </c>
      <c r="B4" s="18" t="inlineStr">
        <is>
          <t>27 February 2026</t>
        </is>
      </c>
    </row>
    <row r="5">
      <c r="A5" s="16" t="inlineStr">
        <is>
          <t>Author</t>
        </is>
      </c>
      <c r="B5" s="18" t="inlineStr">
        <is>
          <t>HAI PMO</t>
        </is>
      </c>
    </row>
    <row r="6">
      <c r="A6" s="16" t="inlineStr">
        <is>
          <t>Classification</t>
        </is>
      </c>
      <c r="B6" s="18" t="inlineStr">
        <is>
          <t>Confidential — Internal HAI Working Document</t>
        </is>
      </c>
    </row>
    <row r="7">
      <c r="A7" s="16" t="n"/>
      <c r="B7" s="18" t="n"/>
    </row>
    <row r="8">
      <c r="A8" s="19" t="inlineStr">
        <is>
          <t>Purpose</t>
        </is>
      </c>
      <c r="B8" s="24" t="inlineStr">
        <is>
          <t>Master inventory of all process flows required for SkyStruct Platform customization. Every Level 1–4 deliverable traces back to this register.</t>
        </is>
      </c>
    </row>
    <row r="9">
      <c r="A9" s="16" t="n"/>
      <c r="B9" s="18" t="n"/>
    </row>
    <row r="10">
      <c r="A10" s="19" t="inlineStr">
        <is>
          <t>Traceability</t>
        </is>
      </c>
      <c r="B10" s="24" t="inlineStr">
        <is>
          <t>All 60 SOW requirements (Schedule B) are mapped to at least one process flow. See 'SOW Traceability' sheet for full mapping.</t>
        </is>
      </c>
    </row>
    <row r="11">
      <c r="A11" s="16" t="n"/>
      <c r="B11" s="18" t="n"/>
    </row>
    <row r="12">
      <c r="A12" s="19" t="inlineStr">
        <is>
          <t>Coverage Gap</t>
        </is>
      </c>
      <c r="B12" s="24" t="inlineStr">
        <is>
          <t>E.4 (Meeting/Calendar + Outlook) — not mapped to a process flow. This is a configuration item, not a workflow. Handled in platform setup, not a PF deliverable.</t>
        </is>
      </c>
    </row>
    <row r="13">
      <c r="A13" s="16" t="n"/>
      <c r="B13" s="18" t="n"/>
    </row>
    <row r="14">
      <c r="A14" s="19" t="inlineStr">
        <is>
          <t>Approval</t>
        </is>
      </c>
      <c r="B14" s="24" t="n"/>
    </row>
    <row r="15">
      <c r="A15" s="16" t="inlineStr">
        <is>
          <t>Prepared by:</t>
        </is>
      </c>
      <c r="B15" s="18" t="inlineStr">
        <is>
          <t>[HAI PMO — Name]</t>
        </is>
      </c>
    </row>
    <row r="16">
      <c r="A16" s="16" t="inlineStr">
        <is>
          <t>Reviewed by:</t>
        </is>
      </c>
      <c r="B16" s="18" t="inlineStr">
        <is>
          <t>[HAI Project Director — Name]</t>
        </is>
      </c>
    </row>
    <row r="17">
      <c r="A17" s="16" t="inlineStr">
        <is>
          <t>Approved by:</t>
        </is>
      </c>
      <c r="B17" s="18" t="inlineStr">
        <is>
          <t>[CEO / ED — Name]</t>
        </is>
      </c>
    </row>
    <row r="18">
      <c r="A18" s="16" t="inlineStr">
        <is>
          <t>Date:</t>
        </is>
      </c>
      <c r="B18" s="18" t="inlineStr">
        <is>
          <t>[___________]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2026-02-27T08:23:59Z</dcterms:created>
  <dcterms:modified xmlns:dcterms="http://purl.org/dc/terms/" xmlns:xsi="http://www.w3.org/2001/XMLSchema-instance" xsi:type="dcterms:W3CDTF">2026-03-03T06:29:46Z</dcterms:modified>
  <cp:lastModifiedBy>Microsoft Office User</cp:lastModifiedBy>
  <cp:revision>0</cp:revision>
  <cp:lastPrinted>2026-02-28T08:57:58Z</cp:lastPrinted>
</cp:coreProperties>
</file>